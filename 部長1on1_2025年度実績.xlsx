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chi\Documents\GraNavi\granavi_kadou\"/>
    </mc:Choice>
  </mc:AlternateContent>
  <xr:revisionPtr revIDLastSave="0" documentId="8_{1E44A07C-B873-4699-AA2C-0C92A388EF6D}" xr6:coauthVersionLast="47" xr6:coauthVersionMax="47" xr10:uidLastSave="{00000000-0000-0000-0000-000000000000}"/>
  <bookViews>
    <workbookView xWindow="-120" yWindow="-120" windowWidth="29040" windowHeight="15720" xr2:uid="{9DCD5291-4FCF-4E3F-9840-660897D1B366}"/>
  </bookViews>
  <sheets>
    <sheet name="FY25 1on1管理表" sheetId="1" r:id="rId1"/>
  </sheets>
  <definedNames>
    <definedName name="_xlnm._FilterDatabase" localSheetId="0" hidden="1">'FY25 1on1管理表'!$A$1:$S$47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7" i="1" l="1"/>
  <c r="U47" i="1" s="1"/>
  <c r="R47" i="1" a="1"/>
  <c r="R47" i="1" s="1"/>
  <c r="S47" i="1" s="1"/>
  <c r="P47" i="1" a="1"/>
  <c r="P47" i="1" s="1"/>
  <c r="Q47" i="1" s="1"/>
  <c r="T46" i="1"/>
  <c r="U46" i="1" s="1"/>
  <c r="R46" i="1" a="1"/>
  <c r="R46" i="1" s="1"/>
  <c r="S46" i="1" s="1"/>
  <c r="P46" i="1" a="1"/>
  <c r="P46" i="1" s="1"/>
  <c r="Q46" i="1" s="1"/>
  <c r="U45" i="1"/>
  <c r="T45" i="1"/>
  <c r="R45" i="1" a="1"/>
  <c r="R45" i="1" s="1"/>
  <c r="S45" i="1" s="1"/>
  <c r="P45" i="1" a="1"/>
  <c r="P45" i="1" s="1"/>
  <c r="Q45" i="1" s="1"/>
  <c r="T44" i="1"/>
  <c r="U44" i="1" s="1"/>
  <c r="R44" i="1" a="1"/>
  <c r="R44" i="1" s="1"/>
  <c r="S44" i="1" s="1"/>
  <c r="P44" i="1" a="1"/>
  <c r="P44" i="1" s="1"/>
  <c r="Q44" i="1" s="1"/>
  <c r="U43" i="1"/>
  <c r="T43" i="1"/>
  <c r="R43" i="1" a="1"/>
  <c r="R43" i="1" s="1"/>
  <c r="S43" i="1" s="1"/>
  <c r="P43" i="1" a="1"/>
  <c r="P43" i="1" s="1"/>
  <c r="Q43" i="1" s="1"/>
  <c r="U42" i="1"/>
  <c r="T42" i="1"/>
  <c r="R42" i="1" a="1"/>
  <c r="R42" i="1" s="1"/>
  <c r="S42" i="1" s="1"/>
  <c r="P42" i="1" a="1"/>
  <c r="P42" i="1" s="1"/>
  <c r="Q42" i="1" s="1"/>
  <c r="T41" i="1"/>
  <c r="U41" i="1" s="1"/>
  <c r="R41" i="1" a="1"/>
  <c r="R41" i="1" s="1"/>
  <c r="S41" i="1" s="1"/>
  <c r="P41" i="1" a="1"/>
  <c r="P41" i="1" s="1"/>
  <c r="Q41" i="1" s="1"/>
  <c r="U40" i="1"/>
  <c r="T40" i="1"/>
  <c r="R40" i="1" a="1"/>
  <c r="R40" i="1" s="1"/>
  <c r="S40" i="1" s="1"/>
  <c r="P40" i="1" a="1"/>
  <c r="P40" i="1" s="1"/>
  <c r="Q40" i="1" s="1"/>
  <c r="U39" i="1"/>
  <c r="T39" i="1"/>
  <c r="R39" i="1" a="1"/>
  <c r="R39" i="1" s="1"/>
  <c r="S39" i="1" s="1"/>
  <c r="P39" i="1" a="1"/>
  <c r="P39" i="1" s="1"/>
  <c r="Q39" i="1" s="1"/>
  <c r="T38" i="1"/>
  <c r="U38" i="1" s="1"/>
  <c r="R38" i="1" a="1"/>
  <c r="R38" i="1" s="1"/>
  <c r="S38" i="1" s="1"/>
  <c r="P38" i="1" a="1"/>
  <c r="P38" i="1" s="1"/>
  <c r="Q38" i="1" s="1"/>
  <c r="U37" i="1"/>
  <c r="T37" i="1"/>
  <c r="R37" i="1" a="1"/>
  <c r="R37" i="1" s="1"/>
  <c r="S37" i="1" s="1"/>
  <c r="P37" i="1" a="1"/>
  <c r="P37" i="1" s="1"/>
  <c r="Q37" i="1" s="1"/>
  <c r="U36" i="1"/>
  <c r="T36" i="1"/>
  <c r="R36" i="1" a="1"/>
  <c r="R36" i="1" s="1"/>
  <c r="S36" i="1" s="1"/>
  <c r="P36" i="1" a="1"/>
  <c r="P36" i="1" s="1"/>
  <c r="Q36" i="1" s="1"/>
  <c r="T35" i="1"/>
  <c r="U35" i="1" s="1"/>
  <c r="R35" i="1" a="1"/>
  <c r="R35" i="1" s="1"/>
  <c r="S35" i="1" s="1"/>
  <c r="P35" i="1" a="1"/>
  <c r="P35" i="1" s="1"/>
  <c r="Q35" i="1" s="1"/>
  <c r="U34" i="1"/>
  <c r="T34" i="1"/>
  <c r="R34" i="1" a="1"/>
  <c r="R34" i="1" s="1"/>
  <c r="S34" i="1" s="1"/>
  <c r="P34" i="1" a="1"/>
  <c r="P34" i="1" s="1"/>
  <c r="Q34" i="1" s="1"/>
  <c r="U33" i="1"/>
  <c r="T33" i="1"/>
  <c r="R33" i="1" a="1"/>
  <c r="R33" i="1" s="1"/>
  <c r="S33" i="1" s="1"/>
  <c r="P33" i="1" a="1"/>
  <c r="P33" i="1" s="1"/>
  <c r="Q33" i="1" s="1"/>
  <c r="T32" i="1"/>
  <c r="U32" i="1" s="1"/>
  <c r="R32" i="1" a="1"/>
  <c r="R32" i="1" s="1"/>
  <c r="S32" i="1" s="1"/>
  <c r="P32" i="1" a="1"/>
  <c r="P32" i="1" s="1"/>
  <c r="Q32" i="1" s="1"/>
  <c r="U31" i="1"/>
  <c r="T31" i="1"/>
  <c r="R31" i="1" a="1"/>
  <c r="R31" i="1" s="1"/>
  <c r="S31" i="1" s="1"/>
  <c r="P31" i="1" a="1"/>
  <c r="P31" i="1" s="1"/>
  <c r="Q31" i="1" s="1"/>
  <c r="U30" i="1"/>
  <c r="T30" i="1"/>
  <c r="R30" i="1" a="1"/>
  <c r="R30" i="1" s="1"/>
  <c r="S30" i="1" s="1"/>
  <c r="P30" i="1" a="1"/>
  <c r="P30" i="1" s="1"/>
  <c r="Q30" i="1" s="1"/>
  <c r="T29" i="1"/>
  <c r="U29" i="1" s="1"/>
  <c r="R29" i="1" a="1"/>
  <c r="R29" i="1" s="1"/>
  <c r="S29" i="1" s="1"/>
  <c r="P29" i="1" a="1"/>
  <c r="P29" i="1" s="1"/>
  <c r="Q29" i="1" s="1"/>
  <c r="U28" i="1"/>
  <c r="T28" i="1"/>
  <c r="R28" i="1" a="1"/>
  <c r="R28" i="1" s="1"/>
  <c r="S28" i="1" s="1"/>
  <c r="P28" i="1" a="1"/>
  <c r="P28" i="1" s="1"/>
  <c r="Q28" i="1" s="1"/>
  <c r="U27" i="1"/>
  <c r="T27" i="1"/>
  <c r="R27" i="1" a="1"/>
  <c r="R27" i="1" s="1"/>
  <c r="S27" i="1" s="1"/>
  <c r="P27" i="1" a="1"/>
  <c r="P27" i="1" s="1"/>
  <c r="Q27" i="1" s="1"/>
  <c r="T26" i="1"/>
  <c r="U26" i="1" s="1"/>
  <c r="R26" i="1" a="1"/>
  <c r="R26" i="1" s="1"/>
  <c r="S26" i="1" s="1"/>
  <c r="P26" i="1" a="1"/>
  <c r="P26" i="1" s="1"/>
  <c r="Q26" i="1" s="1"/>
  <c r="T25" i="1"/>
  <c r="U25" i="1" s="1"/>
  <c r="R25" i="1" a="1"/>
  <c r="R25" i="1" s="1"/>
  <c r="S25" i="1" s="1"/>
  <c r="P25" i="1" a="1"/>
  <c r="P25" i="1" s="1"/>
  <c r="Q25" i="1" s="1"/>
  <c r="U24" i="1"/>
  <c r="T24" i="1"/>
  <c r="R24" i="1" a="1"/>
  <c r="R24" i="1" s="1"/>
  <c r="S24" i="1" s="1"/>
  <c r="P24" i="1" a="1"/>
  <c r="P24" i="1" s="1"/>
  <c r="Q24" i="1" s="1"/>
  <c r="T23" i="1"/>
  <c r="U23" i="1" s="1"/>
  <c r="R23" i="1" a="1"/>
  <c r="R23" i="1" s="1"/>
  <c r="S23" i="1" s="1"/>
  <c r="P23" i="1" a="1"/>
  <c r="P23" i="1" s="1"/>
  <c r="Q23" i="1" s="1"/>
  <c r="T22" i="1"/>
  <c r="U22" i="1" s="1"/>
  <c r="R22" i="1" a="1"/>
  <c r="R22" i="1" s="1"/>
  <c r="S22" i="1" s="1"/>
  <c r="P22" i="1" a="1"/>
  <c r="P22" i="1" s="1"/>
  <c r="Q22" i="1" s="1"/>
  <c r="U21" i="1"/>
  <c r="T21" i="1"/>
  <c r="R21" i="1" a="1"/>
  <c r="R21" i="1" s="1"/>
  <c r="S21" i="1" s="1"/>
  <c r="P21" i="1" a="1"/>
  <c r="P21" i="1" s="1"/>
  <c r="Q21" i="1" s="1"/>
  <c r="T20" i="1"/>
  <c r="U20" i="1" s="1"/>
  <c r="R20" i="1" a="1"/>
  <c r="R20" i="1" s="1"/>
  <c r="S20" i="1" s="1"/>
  <c r="P20" i="1" a="1"/>
  <c r="P20" i="1" s="1"/>
  <c r="Q20" i="1" s="1"/>
  <c r="T19" i="1"/>
  <c r="U19" i="1" s="1"/>
  <c r="R19" i="1" a="1"/>
  <c r="R19" i="1" s="1"/>
  <c r="S19" i="1" s="1"/>
  <c r="P19" i="1" a="1"/>
  <c r="P19" i="1" s="1"/>
  <c r="Q19" i="1" s="1"/>
  <c r="U18" i="1"/>
  <c r="T18" i="1"/>
  <c r="R18" i="1" a="1"/>
  <c r="R18" i="1" s="1"/>
  <c r="S18" i="1" s="1"/>
  <c r="P18" i="1" a="1"/>
  <c r="P18" i="1" s="1"/>
  <c r="Q18" i="1" s="1"/>
  <c r="T17" i="1"/>
  <c r="U17" i="1" s="1"/>
  <c r="R17" i="1" a="1"/>
  <c r="R17" i="1" s="1"/>
  <c r="S17" i="1" s="1"/>
  <c r="P17" i="1" a="1"/>
  <c r="P17" i="1" s="1"/>
  <c r="Q17" i="1" s="1"/>
  <c r="T16" i="1"/>
  <c r="U16" i="1" s="1"/>
  <c r="R16" i="1" a="1"/>
  <c r="R16" i="1" s="1"/>
  <c r="S16" i="1" s="1"/>
  <c r="P16" i="1" a="1"/>
  <c r="P16" i="1" s="1"/>
  <c r="Q16" i="1" s="1"/>
  <c r="U15" i="1"/>
  <c r="T15" i="1"/>
  <c r="R15" i="1" a="1"/>
  <c r="R15" i="1" s="1"/>
  <c r="S15" i="1" s="1"/>
  <c r="P15" i="1" a="1"/>
  <c r="P15" i="1" s="1"/>
  <c r="Q15" i="1" s="1"/>
  <c r="T14" i="1"/>
  <c r="U14" i="1" s="1"/>
  <c r="R14" i="1" a="1"/>
  <c r="R14" i="1" s="1"/>
  <c r="S14" i="1" s="1"/>
  <c r="P14" i="1" a="1"/>
  <c r="P14" i="1" s="1"/>
  <c r="Q14" i="1" s="1"/>
  <c r="T13" i="1"/>
  <c r="U13" i="1" s="1"/>
  <c r="R13" i="1" a="1"/>
  <c r="R13" i="1" s="1"/>
  <c r="S13" i="1" s="1"/>
  <c r="P13" i="1" a="1"/>
  <c r="P13" i="1" s="1"/>
  <c r="Q13" i="1" s="1"/>
  <c r="U12" i="1"/>
  <c r="T12" i="1"/>
  <c r="R12" i="1" a="1"/>
  <c r="R12" i="1" s="1"/>
  <c r="S12" i="1" s="1"/>
  <c r="P12" i="1" a="1"/>
  <c r="P12" i="1" s="1"/>
  <c r="Q12" i="1" s="1"/>
  <c r="T11" i="1"/>
  <c r="U11" i="1" s="1"/>
  <c r="R11" i="1" a="1"/>
  <c r="R11" i="1" s="1"/>
  <c r="S11" i="1" s="1"/>
  <c r="P11" i="1" a="1"/>
  <c r="P11" i="1" s="1"/>
  <c r="Q11" i="1" s="1"/>
  <c r="T10" i="1"/>
  <c r="U10" i="1" s="1"/>
  <c r="R10" i="1" a="1"/>
  <c r="R10" i="1" s="1"/>
  <c r="S10" i="1" s="1"/>
  <c r="P10" i="1" a="1"/>
  <c r="P10" i="1" s="1"/>
  <c r="Q10" i="1" s="1"/>
  <c r="U9" i="1"/>
  <c r="T9" i="1"/>
  <c r="R9" i="1" a="1"/>
  <c r="R9" i="1" s="1"/>
  <c r="S9" i="1" s="1"/>
  <c r="P9" i="1" a="1"/>
  <c r="P9" i="1" s="1"/>
  <c r="Q9" i="1" s="1"/>
  <c r="T8" i="1"/>
  <c r="U8" i="1" s="1"/>
  <c r="R8" i="1" a="1"/>
  <c r="R8" i="1" s="1"/>
  <c r="S8" i="1" s="1"/>
  <c r="P8" i="1" a="1"/>
  <c r="P8" i="1" s="1"/>
  <c r="Q8" i="1" s="1"/>
  <c r="T7" i="1"/>
  <c r="U7" i="1" s="1"/>
  <c r="R7" i="1" a="1"/>
  <c r="R7" i="1" s="1"/>
  <c r="S7" i="1" s="1"/>
  <c r="P7" i="1" a="1"/>
  <c r="P7" i="1" s="1"/>
  <c r="Q7" i="1" s="1"/>
  <c r="U6" i="1"/>
  <c r="T6" i="1"/>
  <c r="R6" i="1" a="1"/>
  <c r="R6" i="1" s="1"/>
  <c r="S6" i="1" s="1"/>
  <c r="P6" i="1" a="1"/>
  <c r="P6" i="1" s="1"/>
  <c r="Q6" i="1" s="1"/>
  <c r="T5" i="1"/>
  <c r="U5" i="1" s="1"/>
  <c r="R5" i="1" a="1"/>
  <c r="R5" i="1" s="1"/>
  <c r="S5" i="1" s="1"/>
  <c r="P5" i="1" a="1"/>
  <c r="P5" i="1" s="1"/>
  <c r="Q5" i="1" s="1"/>
  <c r="T4" i="1"/>
  <c r="U4" i="1" s="1"/>
  <c r="R4" i="1" a="1"/>
  <c r="R4" i="1" s="1"/>
  <c r="S4" i="1" s="1"/>
  <c r="P4" i="1" a="1"/>
  <c r="P4" i="1" s="1"/>
  <c r="Q4" i="1" s="1"/>
  <c r="U3" i="1"/>
  <c r="T3" i="1"/>
  <c r="R3" i="1" a="1"/>
  <c r="R3" i="1" s="1"/>
  <c r="S3" i="1" s="1"/>
  <c r="P3" i="1" a="1"/>
  <c r="P3" i="1" s="1"/>
  <c r="Q3" i="1" s="1"/>
  <c r="T2" i="1"/>
  <c r="U2" i="1" s="1"/>
  <c r="R2" i="1" a="1"/>
  <c r="R2" i="1" s="1"/>
  <c r="S2" i="1" s="1"/>
  <c r="P2" i="1" a="1"/>
  <c r="P2" i="1" s="1"/>
  <c r="Q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幸地司</author>
  </authors>
  <commentList>
    <comment ref="C34" authorId="0" shapeId="0" xr:uid="{98001930-45ED-4EED-AB91-953E8D6A22D2}">
      <text>
        <r>
          <rPr>
            <b/>
            <sz val="9"/>
            <color indexed="81"/>
            <rFont val="MS P ゴシック"/>
            <family val="3"/>
            <charset val="128"/>
          </rPr>
          <t>幸地司:</t>
        </r>
        <r>
          <rPr>
            <sz val="9"/>
            <color indexed="81"/>
            <rFont val="MS P ゴシック"/>
            <family val="3"/>
            <charset val="128"/>
          </rPr>
          <t xml:space="preserve">
NSW経由だが、CS分析では「SSS]として扱う</t>
        </r>
      </text>
    </comment>
    <comment ref="C40" authorId="0" shapeId="0" xr:uid="{B5A1EF81-EF1C-4CCC-B69B-7923D3E4BD4A}">
      <text>
        <r>
          <rPr>
            <b/>
            <sz val="9"/>
            <color indexed="81"/>
            <rFont val="MS P ゴシック"/>
            <family val="3"/>
            <charset val="128"/>
          </rPr>
          <t>幸地司:</t>
        </r>
        <r>
          <rPr>
            <sz val="9"/>
            <color indexed="81"/>
            <rFont val="MS P ゴシック"/>
            <family val="3"/>
            <charset val="128"/>
          </rPr>
          <t xml:space="preserve">
SCSK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<sst xmlns="http://schemas.openxmlformats.org/spreadsheetml/2006/main" count="526" uniqueCount="90">
  <si>
    <t>氏名</t>
    <rPh sb="0" eb="2">
      <t>シメイ</t>
    </rPh>
    <phoneticPr fontId="3"/>
  </si>
  <si>
    <t>チーム名</t>
  </si>
  <si>
    <t>顧客</t>
  </si>
  <si>
    <t>実施回数</t>
    <rPh sb="0" eb="2">
      <t>ジッシ</t>
    </rPh>
    <rPh sb="2" eb="4">
      <t>カイスウ</t>
    </rPh>
    <phoneticPr fontId="3"/>
  </si>
  <si>
    <t>実施率</t>
    <rPh sb="0" eb="3">
      <t>ジッシリツ</t>
    </rPh>
    <phoneticPr fontId="3"/>
  </si>
  <si>
    <t>3Q実施回数</t>
    <rPh sb="2" eb="4">
      <t>ジッシ</t>
    </rPh>
    <rPh sb="4" eb="6">
      <t>カイスウ</t>
    </rPh>
    <phoneticPr fontId="3"/>
  </si>
  <si>
    <t>3Q実施率</t>
    <rPh sb="2" eb="5">
      <t>ジッシリツ</t>
    </rPh>
    <phoneticPr fontId="3"/>
  </si>
  <si>
    <t>4Q実施回数</t>
    <rPh sb="2" eb="4">
      <t>ジッシ</t>
    </rPh>
    <rPh sb="4" eb="6">
      <t>カイスウ</t>
    </rPh>
    <phoneticPr fontId="3"/>
  </si>
  <si>
    <t>4Q実施率</t>
    <rPh sb="2" eb="5">
      <t>ジッシリツ</t>
    </rPh>
    <phoneticPr fontId="3"/>
  </si>
  <si>
    <t>柏木 浩司</t>
  </si>
  <si>
    <t>S/W 1</t>
  </si>
  <si>
    <t>CITS</t>
    <phoneticPr fontId="3"/>
  </si>
  <si>
    <t>●</t>
  </si>
  <si>
    <t>小熊 峰明</t>
  </si>
  <si>
    <t>CITS</t>
  </si>
  <si>
    <t>◯</t>
  </si>
  <si>
    <t>大野 圭祐</t>
  </si>
  <si>
    <t>波戸元 久子</t>
  </si>
  <si>
    <t>宮本 孝</t>
  </si>
  <si>
    <t>長内 亜里紗</t>
  </si>
  <si>
    <t>田島 明典</t>
  </si>
  <si>
    <t>芝井 彩子</t>
  </si>
  <si>
    <t>S/W 1</t>
    <phoneticPr fontId="3"/>
  </si>
  <si>
    <t>◯●</t>
  </si>
  <si>
    <t>五十嵐 諒</t>
  </si>
  <si>
    <t>S/W 2</t>
  </si>
  <si>
    <t>伊藤 暢規</t>
  </si>
  <si>
    <t>Sky</t>
  </si>
  <si>
    <t>椙村 敦史</t>
  </si>
  <si>
    <t>大野 翔平</t>
  </si>
  <si>
    <t>塚本 奨也</t>
  </si>
  <si>
    <t>佐藤 崇頂</t>
  </si>
  <si>
    <t>村澤 英俊</t>
  </si>
  <si>
    <t>S/W 3</t>
  </si>
  <si>
    <t>イーソル</t>
  </si>
  <si>
    <t>◯</t>
    <phoneticPr fontId="3"/>
  </si>
  <si>
    <t>山本 貴大</t>
    <phoneticPr fontId="3"/>
  </si>
  <si>
    <t>ブライセン</t>
  </si>
  <si>
    <t>瀬田 康一</t>
  </si>
  <si>
    <t>FSI</t>
  </si>
  <si>
    <t>尾原 徳泰</t>
    <phoneticPr fontId="3"/>
  </si>
  <si>
    <t>NSW</t>
  </si>
  <si>
    <t>飯塚 道雄</t>
  </si>
  <si>
    <t>対象外</t>
    <rPh sb="0" eb="3">
      <t>タイショウガイ</t>
    </rPh>
    <phoneticPr fontId="3"/>
  </si>
  <si>
    <t>退職</t>
    <rPh sb="0" eb="2">
      <t>タイショク</t>
    </rPh>
    <phoneticPr fontId="3"/>
  </si>
  <si>
    <t>尾畑 洋</t>
  </si>
  <si>
    <t>外垣 蓮</t>
    <phoneticPr fontId="3"/>
  </si>
  <si>
    <t>●</t>
    <phoneticPr fontId="3"/>
  </si>
  <si>
    <t>向江 理</t>
  </si>
  <si>
    <t>S/W 4</t>
    <phoneticPr fontId="3"/>
  </si>
  <si>
    <t>RSG</t>
  </si>
  <si>
    <t>浦 啓吾</t>
  </si>
  <si>
    <t>S/W 4</t>
  </si>
  <si>
    <t>森本 勝士</t>
  </si>
  <si>
    <t>中島 颯一朗</t>
  </si>
  <si>
    <t>頼光 正典</t>
    <phoneticPr fontId="3"/>
  </si>
  <si>
    <t>入社月</t>
    <rPh sb="0" eb="2">
      <t>ニュウシャ</t>
    </rPh>
    <rPh sb="2" eb="3">
      <t>ツキ</t>
    </rPh>
    <phoneticPr fontId="3"/>
  </si>
  <si>
    <t>山城 卓也</t>
  </si>
  <si>
    <t>須藤 直人</t>
  </si>
  <si>
    <t>H/W 1</t>
  </si>
  <si>
    <t>SSS</t>
  </si>
  <si>
    <t>松永 英郎</t>
  </si>
  <si>
    <t>渡邉 巌夫</t>
  </si>
  <si>
    <t>鈴木 領</t>
  </si>
  <si>
    <t>横山 幸生</t>
  </si>
  <si>
    <t>村上 昌之</t>
    <phoneticPr fontId="3"/>
  </si>
  <si>
    <t>SSS</t>
    <phoneticPr fontId="3"/>
  </si>
  <si>
    <t>大谷 和也</t>
  </si>
  <si>
    <t>H/W 2</t>
  </si>
  <si>
    <t>住電</t>
  </si>
  <si>
    <t>桑原 宏禎</t>
  </si>
  <si>
    <t>三田 博史</t>
  </si>
  <si>
    <t>金子 朝哉</t>
  </si>
  <si>
    <t>MEC</t>
  </si>
  <si>
    <t>ISZ</t>
    <phoneticPr fontId="3"/>
  </si>
  <si>
    <t>鳥居 綾子</t>
  </si>
  <si>
    <t>五十嵐 智</t>
  </si>
  <si>
    <t>相澤 祐貴</t>
  </si>
  <si>
    <t>ニッパツ</t>
  </si>
  <si>
    <t>寺田 祐司</t>
  </si>
  <si>
    <t>TEC</t>
  </si>
  <si>
    <t>中村 容子</t>
  </si>
  <si>
    <t>TBK</t>
  </si>
  <si>
    <t>田中 宏和</t>
    <rPh sb="0" eb="2">
      <t>タナカ</t>
    </rPh>
    <rPh sb="3" eb="5">
      <t>ヒロカズ</t>
    </rPh>
    <phoneticPr fontId="3"/>
  </si>
  <si>
    <t>GP</t>
    <phoneticPr fontId="3"/>
  </si>
  <si>
    <t>豊田 淳</t>
  </si>
  <si>
    <t>技術部</t>
    <rPh sb="0" eb="2">
      <t>ギジュツ</t>
    </rPh>
    <rPh sb="2" eb="3">
      <t>ブ</t>
    </rPh>
    <phoneticPr fontId="3"/>
  </si>
  <si>
    <t>待機</t>
    <rPh sb="0" eb="2">
      <t>タイキ</t>
    </rPh>
    <phoneticPr fontId="3"/>
  </si>
  <si>
    <t>一番ヶ瀬 公弥</t>
    <phoneticPr fontId="3"/>
  </si>
  <si>
    <t>生平 雅人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</si>
</sst>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月&quot;"/>
  </numFmts>
  <fonts count="7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top" shrinkToFit="1"/>
    </xf>
    <xf numFmtId="176" fontId="4" fillId="3" borderId="0" xfId="0" applyNumberFormat="1" applyFont="1" applyFill="1" applyAlignment="1">
      <alignment horizontal="center"/>
    </xf>
    <xf numFmtId="0" fontId="2" fillId="0" borderId="0" xfId="0" applyFont="1" applyAlignment="1">
      <alignment shrinkToFi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0" fontId="2" fillId="0" borderId="0" xfId="0" applyFont="1"/>
    <xf numFmtId="9" fontId="0" fillId="0" borderId="1" xfId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/>
    <xf numFmtId="0" fontId="2" fillId="0" borderId="0" xfId="0" applyFont="1" applyAlignment="1">
      <alignment horizont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353066</xdr:colOff>
      <xdr:row>2</xdr:row>
      <xdr:rowOff>212914</xdr:rowOff>
    </xdr:from>
    <xdr:to>
      <xdr:col>25</xdr:col>
      <xdr:colOff>50103</xdr:colOff>
      <xdr:row>6</xdr:row>
      <xdr:rowOff>150241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01254AF-33CE-4406-B506-800A55E4F102}"/>
            </a:ext>
          </a:extLst>
        </xdr:cNvPr>
        <xdr:cNvSpPr txBox="1"/>
      </xdr:nvSpPr>
      <xdr:spPr>
        <a:xfrm>
          <a:off x="15593066" y="689164"/>
          <a:ext cx="2211637" cy="8898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記入凡例</a:t>
          </a:r>
          <a:endParaRPr kumimoji="1" lang="en-US" altLang="ja-JP" sz="1100"/>
        </a:p>
        <a:p>
          <a:r>
            <a:rPr kumimoji="1" lang="ja-JP" altLang="en-US" sz="1100"/>
            <a:t>◯：リーダーによる</a:t>
          </a:r>
          <a:r>
            <a:rPr kumimoji="1" lang="en-US" altLang="ja-JP" sz="1100"/>
            <a:t>1on1</a:t>
          </a:r>
        </a:p>
        <a:p>
          <a:r>
            <a:rPr kumimoji="1" lang="ja-JP" altLang="en-US" sz="1100"/>
            <a:t>●：部長による</a:t>
          </a:r>
          <a:r>
            <a:rPr kumimoji="1" lang="en-US" altLang="ja-JP" sz="1100"/>
            <a:t>1on1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B993-9D4C-45D5-8547-EE6D100A4215}">
  <dimension ref="A1:U47"/>
  <sheetViews>
    <sheetView tabSelected="1" zoomScale="85" zoomScaleNormal="85" workbookViewId="0">
      <pane xSplit="3" ySplit="1" topLeftCell="D14" activePane="bottomRight" state="frozen"/>
      <selection pane="topRight" activeCell="D1" sqref="D1"/>
      <selection pane="bottomLeft" activeCell="A2" sqref="A2"/>
      <selection pane="bottomRight" sqref="A1:U47"/>
    </sheetView>
  </sheetViews>
  <sheetFormatPr defaultColWidth="8.25" defaultRowHeight="18.75"/>
  <cols>
    <col min="1" max="1" width="13.625" style="7" bestFit="1" customWidth="1"/>
    <col min="2" max="2" width="8.25" style="7"/>
    <col min="3" max="3" width="10.125" style="7" customWidth="1"/>
    <col min="4" max="17" width="9" style="12" customWidth="1"/>
    <col min="18" max="18" width="11.5" style="7" bestFit="1" customWidth="1"/>
    <col min="19" max="19" width="9.5" style="7" bestFit="1" customWidth="1"/>
    <col min="20" max="20" width="11.5" style="7" bestFit="1" customWidth="1"/>
    <col min="21" max="21" width="9.5" style="7" bestFit="1" customWidth="1"/>
    <col min="22" max="16384" width="8.25" style="7"/>
  </cols>
  <sheetData>
    <row r="1" spans="1:21" s="3" customFormat="1">
      <c r="A1" s="1" t="s">
        <v>0</v>
      </c>
      <c r="B1" s="1" t="s">
        <v>1</v>
      </c>
      <c r="C1" s="1" t="s">
        <v>2</v>
      </c>
      <c r="D1" s="2">
        <v>45748</v>
      </c>
      <c r="E1" s="2">
        <v>45778</v>
      </c>
      <c r="F1" s="2">
        <v>45809</v>
      </c>
      <c r="G1" s="2">
        <v>45839</v>
      </c>
      <c r="H1" s="2">
        <v>45870</v>
      </c>
      <c r="I1" s="2">
        <v>45901</v>
      </c>
      <c r="J1" s="2">
        <v>45931</v>
      </c>
      <c r="K1" s="2">
        <v>45962</v>
      </c>
      <c r="L1" s="2">
        <v>45992</v>
      </c>
      <c r="M1" s="2">
        <v>46023</v>
      </c>
      <c r="N1" s="2">
        <v>46054</v>
      </c>
      <c r="O1" s="2">
        <v>46082</v>
      </c>
      <c r="P1" s="2" t="s">
        <v>3</v>
      </c>
      <c r="Q1" s="2" t="s">
        <v>4</v>
      </c>
      <c r="R1" s="2" t="s">
        <v>5</v>
      </c>
      <c r="S1" s="2" t="s">
        <v>6</v>
      </c>
      <c r="T1" s="2" t="s">
        <v>7</v>
      </c>
      <c r="U1" s="2" t="s">
        <v>8</v>
      </c>
    </row>
    <row r="2" spans="1:21">
      <c r="A2" s="4" t="s">
        <v>9</v>
      </c>
      <c r="B2" s="4" t="s">
        <v>10</v>
      </c>
      <c r="C2" s="4" t="s">
        <v>11</v>
      </c>
      <c r="D2" s="5" t="s">
        <v>12</v>
      </c>
      <c r="E2" s="5"/>
      <c r="F2" s="5"/>
      <c r="G2" s="5"/>
      <c r="H2" s="5"/>
      <c r="I2" s="5"/>
      <c r="J2" s="5"/>
      <c r="K2" s="5" t="s">
        <v>12</v>
      </c>
      <c r="L2" s="5"/>
      <c r="M2" s="5"/>
      <c r="N2" s="5"/>
      <c r="O2" s="5"/>
      <c r="P2" s="5" cm="1">
        <f t="array" ref="P2">SUM(COUNTIF(D2:O2, {"◯","●","◯●"}))</f>
        <v>2</v>
      </c>
      <c r="Q2" s="6">
        <f t="shared" ref="Q2:Q11" ca="1" si="0">P2 / ( (YEAR(TODAY())*12 + MONTH(TODAY())) - (YEAR(TODAY()-(MONTH(TODAY())&lt;4)*365)*12 + 4) + 1 )</f>
        <v>2</v>
      </c>
      <c r="R2" s="7" cm="1">
        <f t="array" ref="R2">SUM(COUNTIF(J2:L2, {"*◯*","*●*"})) - COUNTIF(J2:L2, "*◯●*")</f>
        <v>1</v>
      </c>
      <c r="S2" s="6">
        <f>R2 / 3</f>
        <v>0.33333333333333331</v>
      </c>
      <c r="T2">
        <f t="shared" ref="T2:T47" si="1">COUNTIF(M2:O2,"*◯*") + COUNTIF(M2:O2,"*●*") - COUNTIF(M2:O2,"*◯●*")</f>
        <v>0</v>
      </c>
      <c r="U2" s="8">
        <f t="shared" ref="U2:U47" si="2">T2 / 3</f>
        <v>0</v>
      </c>
    </row>
    <row r="3" spans="1:21">
      <c r="A3" s="4" t="s">
        <v>13</v>
      </c>
      <c r="B3" s="4" t="s">
        <v>10</v>
      </c>
      <c r="C3" s="4" t="s">
        <v>14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/>
      <c r="O3" s="5" t="s">
        <v>15</v>
      </c>
      <c r="P3" s="5" cm="1">
        <f t="array" ref="P3">SUM(COUNTIF(D3:O3, {"◯","●","◯●"}))</f>
        <v>11</v>
      </c>
      <c r="Q3" s="6">
        <f t="shared" ca="1" si="0"/>
        <v>11</v>
      </c>
      <c r="R3" s="7" cm="1">
        <f t="array" ref="R3">SUM(COUNTIF(J3:L3, {"*◯*","*●*"})) - COUNTIF(J3:L3, "*◯●*")</f>
        <v>3</v>
      </c>
      <c r="S3" s="6">
        <f>R3 / 3</f>
        <v>1</v>
      </c>
      <c r="T3">
        <f t="shared" si="1"/>
        <v>2</v>
      </c>
      <c r="U3" s="8">
        <f t="shared" si="2"/>
        <v>0.66666666666666663</v>
      </c>
    </row>
    <row r="4" spans="1:21">
      <c r="A4" s="4" t="s">
        <v>16</v>
      </c>
      <c r="B4" s="4" t="s">
        <v>10</v>
      </c>
      <c r="C4" s="4" t="s">
        <v>14</v>
      </c>
      <c r="D4" s="5" t="s">
        <v>15</v>
      </c>
      <c r="E4" s="5" t="s">
        <v>15</v>
      </c>
      <c r="F4" s="5" t="s">
        <v>15</v>
      </c>
      <c r="G4" s="5" t="s">
        <v>15</v>
      </c>
      <c r="H4" s="5" t="s">
        <v>15</v>
      </c>
      <c r="I4" s="5" t="s">
        <v>15</v>
      </c>
      <c r="J4" s="5" t="s">
        <v>15</v>
      </c>
      <c r="K4" s="5" t="s">
        <v>15</v>
      </c>
      <c r="L4" s="5" t="s">
        <v>15</v>
      </c>
      <c r="M4" s="5" t="s">
        <v>15</v>
      </c>
      <c r="N4" s="5" t="s">
        <v>15</v>
      </c>
      <c r="O4" s="5" t="s">
        <v>15</v>
      </c>
      <c r="P4" s="5" cm="1">
        <f t="array" ref="P4">SUM(COUNTIF(D4:O4, {"◯","●","◯●"}))</f>
        <v>12</v>
      </c>
      <c r="Q4" s="6">
        <f t="shared" ca="1" si="0"/>
        <v>12</v>
      </c>
      <c r="R4" s="7" cm="1">
        <f t="array" ref="R4">SUM(COUNTIF(J4:L4, {"*◯*","*●*"})) - COUNTIF(J4:L4, "*◯●*")</f>
        <v>3</v>
      </c>
      <c r="S4" s="6">
        <f t="shared" ref="S4:S47" si="3">R4 / 3</f>
        <v>1</v>
      </c>
      <c r="T4">
        <f t="shared" si="1"/>
        <v>3</v>
      </c>
      <c r="U4" s="8">
        <f t="shared" si="2"/>
        <v>1</v>
      </c>
    </row>
    <row r="5" spans="1:21">
      <c r="A5" s="4" t="s">
        <v>17</v>
      </c>
      <c r="B5" s="4" t="s">
        <v>10</v>
      </c>
      <c r="C5" s="4" t="s">
        <v>14</v>
      </c>
      <c r="D5" s="5" t="s">
        <v>15</v>
      </c>
      <c r="E5" s="5" t="s">
        <v>15</v>
      </c>
      <c r="F5" s="5" t="s">
        <v>15</v>
      </c>
      <c r="G5" s="5" t="s">
        <v>15</v>
      </c>
      <c r="H5" s="5" t="s">
        <v>15</v>
      </c>
      <c r="I5" s="5" t="s">
        <v>15</v>
      </c>
      <c r="J5" s="5" t="s">
        <v>15</v>
      </c>
      <c r="K5" s="5" t="s">
        <v>15</v>
      </c>
      <c r="L5" s="5" t="s">
        <v>15</v>
      </c>
      <c r="M5" s="5" t="s">
        <v>15</v>
      </c>
      <c r="N5" s="5" t="s">
        <v>15</v>
      </c>
      <c r="O5" s="5" t="s">
        <v>15</v>
      </c>
      <c r="P5" s="5" cm="1">
        <f t="array" ref="P5">SUM(COUNTIF(D5:O5, {"◯","●","◯●"}))</f>
        <v>12</v>
      </c>
      <c r="Q5" s="6">
        <f t="shared" ca="1" si="0"/>
        <v>12</v>
      </c>
      <c r="R5" s="7" cm="1">
        <f t="array" ref="R5">SUM(COUNTIF(J5:L5, {"*◯*","*●*"})) - COUNTIF(J5:L5, "*◯●*")</f>
        <v>3</v>
      </c>
      <c r="S5" s="6">
        <f t="shared" si="3"/>
        <v>1</v>
      </c>
      <c r="T5">
        <f t="shared" si="1"/>
        <v>3</v>
      </c>
      <c r="U5" s="8">
        <f t="shared" si="2"/>
        <v>1</v>
      </c>
    </row>
    <row r="6" spans="1:21">
      <c r="A6" s="4" t="s">
        <v>18</v>
      </c>
      <c r="B6" s="4" t="s">
        <v>10</v>
      </c>
      <c r="C6" s="4" t="s">
        <v>14</v>
      </c>
      <c r="D6" s="5" t="s">
        <v>15</v>
      </c>
      <c r="E6" s="5" t="s">
        <v>15</v>
      </c>
      <c r="F6" s="5" t="s">
        <v>15</v>
      </c>
      <c r="G6" s="5" t="s">
        <v>15</v>
      </c>
      <c r="H6" s="5" t="s">
        <v>15</v>
      </c>
      <c r="I6" s="5" t="s">
        <v>15</v>
      </c>
      <c r="J6" s="5" t="s">
        <v>15</v>
      </c>
      <c r="K6" s="5" t="s">
        <v>15</v>
      </c>
      <c r="L6" s="5" t="s">
        <v>15</v>
      </c>
      <c r="M6" s="5" t="s">
        <v>15</v>
      </c>
      <c r="N6" s="5" t="s">
        <v>15</v>
      </c>
      <c r="O6" s="5" t="s">
        <v>15</v>
      </c>
      <c r="P6" s="5" cm="1">
        <f t="array" ref="P6">SUM(COUNTIF(D6:O6, {"◯","●","◯●"}))</f>
        <v>12</v>
      </c>
      <c r="Q6" s="6">
        <f t="shared" ca="1" si="0"/>
        <v>12</v>
      </c>
      <c r="R6" s="7" cm="1">
        <f t="array" ref="R6">SUM(COUNTIF(J6:L6, {"*◯*","*●*"})) - COUNTIF(J6:L6, "*◯●*")</f>
        <v>3</v>
      </c>
      <c r="S6" s="6">
        <f t="shared" si="3"/>
        <v>1</v>
      </c>
      <c r="T6">
        <f t="shared" si="1"/>
        <v>3</v>
      </c>
      <c r="U6" s="8">
        <f t="shared" si="2"/>
        <v>1</v>
      </c>
    </row>
    <row r="7" spans="1:21">
      <c r="A7" s="4" t="s">
        <v>19</v>
      </c>
      <c r="B7" s="4" t="s">
        <v>10</v>
      </c>
      <c r="C7" s="4" t="s">
        <v>11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  <c r="K7" s="5" t="s">
        <v>15</v>
      </c>
      <c r="L7" s="5" t="s">
        <v>15</v>
      </c>
      <c r="M7" s="5" t="s">
        <v>15</v>
      </c>
      <c r="N7" s="5" t="s">
        <v>15</v>
      </c>
      <c r="O7" s="5"/>
      <c r="P7" s="5" cm="1">
        <f t="array" ref="P7">SUM(COUNTIF(D7:O7, {"◯","●","◯●"}))</f>
        <v>11</v>
      </c>
      <c r="Q7" s="6">
        <f t="shared" ca="1" si="0"/>
        <v>11</v>
      </c>
      <c r="R7" s="7" cm="1">
        <f t="array" ref="R7">SUM(COUNTIF(J7:L7, {"*◯*","*●*"})) - COUNTIF(J7:L7, "*◯●*")</f>
        <v>3</v>
      </c>
      <c r="S7" s="6">
        <f t="shared" si="3"/>
        <v>1</v>
      </c>
      <c r="T7">
        <f t="shared" si="1"/>
        <v>2</v>
      </c>
      <c r="U7" s="8">
        <f t="shared" si="2"/>
        <v>0.66666666666666663</v>
      </c>
    </row>
    <row r="8" spans="1:21">
      <c r="A8" s="4" t="s">
        <v>20</v>
      </c>
      <c r="B8" s="4" t="s">
        <v>10</v>
      </c>
      <c r="C8" s="4" t="s">
        <v>11</v>
      </c>
      <c r="D8" s="5" t="s">
        <v>15</v>
      </c>
      <c r="E8" s="5" t="s">
        <v>15</v>
      </c>
      <c r="F8" s="5" t="s">
        <v>15</v>
      </c>
      <c r="G8" s="5" t="s">
        <v>15</v>
      </c>
      <c r="H8" s="5" t="s">
        <v>15</v>
      </c>
      <c r="I8" s="5" t="s">
        <v>15</v>
      </c>
      <c r="J8" s="5" t="s">
        <v>15</v>
      </c>
      <c r="K8" s="5" t="s">
        <v>15</v>
      </c>
      <c r="L8" s="5" t="s">
        <v>15</v>
      </c>
      <c r="M8" s="5" t="s">
        <v>15</v>
      </c>
      <c r="N8" s="5"/>
      <c r="O8" s="5" t="s">
        <v>15</v>
      </c>
      <c r="P8" s="5" cm="1">
        <f t="array" ref="P8">SUM(COUNTIF(D8:O8, {"◯","●","◯●"}))</f>
        <v>11</v>
      </c>
      <c r="Q8" s="6">
        <f t="shared" ca="1" si="0"/>
        <v>11</v>
      </c>
      <c r="R8" s="7" cm="1">
        <f t="array" ref="R8">SUM(COUNTIF(J8:L8, {"*◯*","*●*"})) - COUNTIF(J8:L8, "*◯●*")</f>
        <v>3</v>
      </c>
      <c r="S8" s="6">
        <f t="shared" si="3"/>
        <v>1</v>
      </c>
      <c r="T8">
        <f t="shared" si="1"/>
        <v>2</v>
      </c>
      <c r="U8" s="8">
        <f t="shared" si="2"/>
        <v>0.66666666666666663</v>
      </c>
    </row>
    <row r="9" spans="1:21">
      <c r="A9" s="9" t="s">
        <v>21</v>
      </c>
      <c r="B9" s="9" t="s">
        <v>22</v>
      </c>
      <c r="C9" s="9" t="s">
        <v>11</v>
      </c>
      <c r="D9" s="5"/>
      <c r="E9" s="5" t="s">
        <v>15</v>
      </c>
      <c r="F9" s="5"/>
      <c r="G9" s="5" t="s">
        <v>23</v>
      </c>
      <c r="H9" s="5" t="s">
        <v>15</v>
      </c>
      <c r="I9" s="5" t="s">
        <v>15</v>
      </c>
      <c r="J9" s="5" t="s">
        <v>15</v>
      </c>
      <c r="K9" s="5" t="s">
        <v>15</v>
      </c>
      <c r="L9" s="5" t="s">
        <v>15</v>
      </c>
      <c r="M9" s="5" t="s">
        <v>15</v>
      </c>
      <c r="N9" s="5" t="s">
        <v>15</v>
      </c>
      <c r="O9" s="5" t="s">
        <v>15</v>
      </c>
      <c r="P9" s="10" cm="1">
        <f t="array" ref="P9">SUM(COUNTIF(D9:O9, {"◯","●","◯●"}))</f>
        <v>10</v>
      </c>
      <c r="Q9" s="6">
        <f ca="1">P9 / ( (YEAR(TODAY())*12 + MONTH(TODAY())) - (YEAR(TODAY()-(MONTH(TODAY())&lt;4)*365)*12 + 4) + 1 )</f>
        <v>10</v>
      </c>
      <c r="R9" s="7" cm="1">
        <f t="array" ref="R9">SUM(COUNTIF(J9:L9, {"*◯*","*●*"})) - COUNTIF(J9:L9, "*◯●*")</f>
        <v>3</v>
      </c>
      <c r="S9" s="6">
        <f t="shared" si="3"/>
        <v>1</v>
      </c>
      <c r="T9">
        <f t="shared" si="1"/>
        <v>3</v>
      </c>
      <c r="U9" s="8">
        <f t="shared" si="2"/>
        <v>1</v>
      </c>
    </row>
    <row r="10" spans="1:21">
      <c r="A10" s="4" t="s">
        <v>24</v>
      </c>
      <c r="B10" s="4" t="s">
        <v>25</v>
      </c>
      <c r="C10" s="4" t="s">
        <v>11</v>
      </c>
      <c r="D10" s="5" t="s">
        <v>12</v>
      </c>
      <c r="E10" s="5"/>
      <c r="F10" s="5"/>
      <c r="G10" s="5"/>
      <c r="H10" s="5"/>
      <c r="I10" s="5"/>
      <c r="J10" s="5"/>
      <c r="K10" s="5" t="s">
        <v>12</v>
      </c>
      <c r="L10" s="5"/>
      <c r="M10" s="5"/>
      <c r="N10" s="5"/>
      <c r="O10" s="5"/>
      <c r="P10" s="5" cm="1">
        <f t="array" ref="P10">SUM(COUNTIF(D10:O10, {"◯","●","◯●"}))</f>
        <v>2</v>
      </c>
      <c r="Q10" s="6">
        <f t="shared" ref="Q10:Q19" ca="1" si="4">P10 / ( (YEAR(TODAY())*12 + MONTH(TODAY())) - (YEAR(TODAY()-(MONTH(TODAY())&lt;4)*365)*12 + 4) + 1 )</f>
        <v>2</v>
      </c>
      <c r="R10" s="7" cm="1">
        <f t="array" ref="R10">SUM(COUNTIF(J10:L10, {"*◯*","*●*"})) - COUNTIF(J10:L10, "*◯●*")</f>
        <v>1</v>
      </c>
      <c r="S10" s="6">
        <f t="shared" si="3"/>
        <v>0.33333333333333331</v>
      </c>
      <c r="T10">
        <f t="shared" si="1"/>
        <v>0</v>
      </c>
      <c r="U10" s="8">
        <f t="shared" si="2"/>
        <v>0</v>
      </c>
    </row>
    <row r="11" spans="1:21">
      <c r="A11" s="4" t="s">
        <v>26</v>
      </c>
      <c r="B11" s="4" t="s">
        <v>25</v>
      </c>
      <c r="C11" s="4" t="s">
        <v>27</v>
      </c>
      <c r="D11" s="5" t="s">
        <v>15</v>
      </c>
      <c r="E11" s="5" t="s">
        <v>15</v>
      </c>
      <c r="F11" s="5" t="s">
        <v>15</v>
      </c>
      <c r="G11" s="5" t="s">
        <v>15</v>
      </c>
      <c r="H11" s="5" t="s">
        <v>15</v>
      </c>
      <c r="I11" s="5" t="s">
        <v>15</v>
      </c>
      <c r="J11" s="5" t="s">
        <v>15</v>
      </c>
      <c r="K11" s="5" t="s">
        <v>15</v>
      </c>
      <c r="L11" s="5" t="s">
        <v>15</v>
      </c>
      <c r="M11" s="5" t="s">
        <v>15</v>
      </c>
      <c r="N11" s="5" t="s">
        <v>15</v>
      </c>
      <c r="O11" s="5" t="s">
        <v>15</v>
      </c>
      <c r="P11" s="5" cm="1">
        <f t="array" ref="P11">SUM(COUNTIF(D11:O11, {"◯","●","◯●"}))</f>
        <v>12</v>
      </c>
      <c r="Q11" s="6">
        <f t="shared" ca="1" si="4"/>
        <v>12</v>
      </c>
      <c r="R11" s="7" cm="1">
        <f t="array" ref="R11">SUM(COUNTIF(J11:L11, {"*◯*","*●*"})) - COUNTIF(J11:L11, "*◯●*")</f>
        <v>3</v>
      </c>
      <c r="S11" s="6">
        <f t="shared" si="3"/>
        <v>1</v>
      </c>
      <c r="T11">
        <f t="shared" si="1"/>
        <v>3</v>
      </c>
      <c r="U11" s="8">
        <f t="shared" si="2"/>
        <v>1</v>
      </c>
    </row>
    <row r="12" spans="1:21">
      <c r="A12" s="4" t="s">
        <v>28</v>
      </c>
      <c r="B12" s="4" t="s">
        <v>25</v>
      </c>
      <c r="C12" s="4" t="s">
        <v>27</v>
      </c>
      <c r="D12" s="5" t="s">
        <v>15</v>
      </c>
      <c r="E12" s="5" t="s">
        <v>15</v>
      </c>
      <c r="F12" s="5" t="s">
        <v>15</v>
      </c>
      <c r="G12" s="5" t="s">
        <v>15</v>
      </c>
      <c r="H12" s="5" t="s">
        <v>23</v>
      </c>
      <c r="I12" s="5" t="s">
        <v>15</v>
      </c>
      <c r="J12" s="5" t="s">
        <v>15</v>
      </c>
      <c r="K12" s="5" t="s">
        <v>15</v>
      </c>
      <c r="L12" s="5" t="s">
        <v>15</v>
      </c>
      <c r="M12" s="5" t="s">
        <v>15</v>
      </c>
      <c r="N12" s="5" t="s">
        <v>15</v>
      </c>
      <c r="O12" s="5" t="s">
        <v>15</v>
      </c>
      <c r="P12" s="5" cm="1">
        <f t="array" ref="P12">SUM(COUNTIF(D12:O12, {"◯","●","◯●"}))</f>
        <v>12</v>
      </c>
      <c r="Q12" s="6">
        <f ca="1">P12 / ( (YEAR(TODAY())*12 + MONTH(TODAY())) - (YEAR(TODAY()-(MONTH(TODAY())&lt;4)*365)*12 + 4) + 1 )</f>
        <v>12</v>
      </c>
      <c r="R12" s="7" cm="1">
        <f t="array" ref="R12">SUM(COUNTIF(J12:L12, {"*◯*","*●*"})) - COUNTIF(J12:L12, "*◯●*")</f>
        <v>3</v>
      </c>
      <c r="S12" s="6">
        <f t="shared" si="3"/>
        <v>1</v>
      </c>
      <c r="T12">
        <f t="shared" si="1"/>
        <v>3</v>
      </c>
      <c r="U12" s="8">
        <f t="shared" si="2"/>
        <v>1</v>
      </c>
    </row>
    <row r="13" spans="1:21">
      <c r="A13" s="4" t="s">
        <v>29</v>
      </c>
      <c r="B13" s="4" t="s">
        <v>25</v>
      </c>
      <c r="C13" s="4" t="s">
        <v>27</v>
      </c>
      <c r="D13" s="5" t="s">
        <v>15</v>
      </c>
      <c r="E13" s="5" t="s">
        <v>15</v>
      </c>
      <c r="F13" s="5" t="s">
        <v>15</v>
      </c>
      <c r="G13" s="5" t="s">
        <v>15</v>
      </c>
      <c r="H13" s="5" t="s">
        <v>15</v>
      </c>
      <c r="I13" s="5" t="s">
        <v>15</v>
      </c>
      <c r="J13" s="5" t="s">
        <v>15</v>
      </c>
      <c r="K13" s="5" t="s">
        <v>15</v>
      </c>
      <c r="L13" s="5" t="s">
        <v>15</v>
      </c>
      <c r="M13" s="5" t="s">
        <v>15</v>
      </c>
      <c r="N13" s="5" t="s">
        <v>15</v>
      </c>
      <c r="O13" s="5" t="s">
        <v>15</v>
      </c>
      <c r="P13" s="5" cm="1">
        <f t="array" ref="P13">SUM(COUNTIF(D13:O13, {"◯","●","◯●"}))</f>
        <v>12</v>
      </c>
      <c r="Q13" s="6">
        <f ca="1">P13 / ( (YEAR(TODAY())*12 + MONTH(TODAY())) - (YEAR(TODAY()-(MONTH(TODAY())&lt;4)*365)*12 + 4) + 1 )</f>
        <v>12</v>
      </c>
      <c r="R13" s="7" cm="1">
        <f t="array" ref="R13">SUM(COUNTIF(J13:L13, {"*◯*","*●*"})) - COUNTIF(J13:L13, "*◯●*")</f>
        <v>3</v>
      </c>
      <c r="S13" s="6">
        <f t="shared" si="3"/>
        <v>1</v>
      </c>
      <c r="T13">
        <f t="shared" si="1"/>
        <v>3</v>
      </c>
      <c r="U13" s="8">
        <f t="shared" si="2"/>
        <v>1</v>
      </c>
    </row>
    <row r="14" spans="1:21">
      <c r="A14" s="4" t="s">
        <v>30</v>
      </c>
      <c r="B14" s="4" t="s">
        <v>25</v>
      </c>
      <c r="C14" s="4" t="s">
        <v>27</v>
      </c>
      <c r="D14" s="5" t="s">
        <v>15</v>
      </c>
      <c r="E14" s="5" t="s">
        <v>15</v>
      </c>
      <c r="F14" s="5" t="s">
        <v>15</v>
      </c>
      <c r="G14" s="5" t="s">
        <v>15</v>
      </c>
      <c r="H14" s="5" t="s">
        <v>15</v>
      </c>
      <c r="I14" s="5" t="s">
        <v>15</v>
      </c>
      <c r="J14" s="5" t="s">
        <v>15</v>
      </c>
      <c r="K14" s="5" t="s">
        <v>15</v>
      </c>
      <c r="L14" s="5" t="s">
        <v>15</v>
      </c>
      <c r="M14" s="5" t="s">
        <v>15</v>
      </c>
      <c r="N14" s="5" t="s">
        <v>15</v>
      </c>
      <c r="O14" s="5" t="s">
        <v>15</v>
      </c>
      <c r="P14" s="5" cm="1">
        <f t="array" ref="P14">SUM(COUNTIF(D14:O14, {"◯","●","◯●"}))</f>
        <v>12</v>
      </c>
      <c r="Q14" s="6">
        <f t="shared" ref="Q14:Q47" ca="1" si="5">P14 / ( (YEAR(TODAY())*12 + MONTH(TODAY())) - (YEAR(TODAY()-(MONTH(TODAY())&lt;4)*365)*12 + 4) + 1 )</f>
        <v>12</v>
      </c>
      <c r="R14" s="7" cm="1">
        <f t="array" ref="R14">SUM(COUNTIF(J14:L14, {"*◯*","*●*"})) - COUNTIF(J14:L14, "*◯●*")</f>
        <v>3</v>
      </c>
      <c r="S14" s="6">
        <f t="shared" si="3"/>
        <v>1</v>
      </c>
      <c r="T14">
        <f t="shared" si="1"/>
        <v>3</v>
      </c>
      <c r="U14" s="8">
        <f t="shared" si="2"/>
        <v>1</v>
      </c>
    </row>
    <row r="15" spans="1:21">
      <c r="A15" s="4" t="s">
        <v>31</v>
      </c>
      <c r="B15" s="4" t="s">
        <v>25</v>
      </c>
      <c r="C15" s="4" t="s">
        <v>27</v>
      </c>
      <c r="D15" s="5" t="s">
        <v>15</v>
      </c>
      <c r="E15" s="5" t="s">
        <v>15</v>
      </c>
      <c r="F15" s="5" t="s">
        <v>15</v>
      </c>
      <c r="G15" s="5" t="s">
        <v>15</v>
      </c>
      <c r="H15" s="5" t="s">
        <v>23</v>
      </c>
      <c r="I15" s="5" t="s">
        <v>15</v>
      </c>
      <c r="J15" s="5" t="s">
        <v>15</v>
      </c>
      <c r="K15" s="5" t="s">
        <v>15</v>
      </c>
      <c r="L15" s="5" t="s">
        <v>15</v>
      </c>
      <c r="M15" s="5" t="s">
        <v>15</v>
      </c>
      <c r="N15" s="5" t="s">
        <v>15</v>
      </c>
      <c r="O15" s="5" t="s">
        <v>15</v>
      </c>
      <c r="P15" s="5" cm="1">
        <f t="array" ref="P15">SUM(COUNTIF(D15:O15, {"◯","●","◯●"}))</f>
        <v>12</v>
      </c>
      <c r="Q15" s="6">
        <f t="shared" ca="1" si="5"/>
        <v>12</v>
      </c>
      <c r="R15" s="7" cm="1">
        <f t="array" ref="R15">SUM(COUNTIF(J15:L15, {"*◯*","*●*"})) - COUNTIF(J15:L15, "*◯●*")</f>
        <v>3</v>
      </c>
      <c r="S15" s="6">
        <f t="shared" si="3"/>
        <v>1</v>
      </c>
      <c r="T15">
        <f t="shared" si="1"/>
        <v>3</v>
      </c>
      <c r="U15" s="8">
        <f t="shared" si="2"/>
        <v>1</v>
      </c>
    </row>
    <row r="16" spans="1:21">
      <c r="A16" s="4" t="s">
        <v>32</v>
      </c>
      <c r="B16" s="4" t="s">
        <v>33</v>
      </c>
      <c r="C16" s="4" t="s">
        <v>34</v>
      </c>
      <c r="D16" s="5"/>
      <c r="E16" s="5" t="s">
        <v>35</v>
      </c>
      <c r="F16" s="5"/>
      <c r="G16" s="5" t="s">
        <v>35</v>
      </c>
      <c r="H16" s="5" t="s">
        <v>35</v>
      </c>
      <c r="I16" s="5" t="s">
        <v>15</v>
      </c>
      <c r="J16" s="5"/>
      <c r="K16" s="5"/>
      <c r="L16" s="5"/>
      <c r="M16" s="5"/>
      <c r="N16" s="5" t="s">
        <v>15</v>
      </c>
      <c r="O16" s="5"/>
      <c r="P16" s="5" cm="1">
        <f t="array" ref="P16">SUM(COUNTIF(D16:O16, {"◯","●","◯●"}))</f>
        <v>5</v>
      </c>
      <c r="Q16" s="6">
        <f t="shared" ca="1" si="5"/>
        <v>5</v>
      </c>
      <c r="R16" s="7" cm="1">
        <f t="array" ref="R16">SUM(COUNTIF(J16:L16, {"*◯*","*●*"})) - COUNTIF(J16:L16, "*◯●*")</f>
        <v>0</v>
      </c>
      <c r="S16" s="6">
        <f t="shared" si="3"/>
        <v>0</v>
      </c>
      <c r="T16">
        <f t="shared" si="1"/>
        <v>1</v>
      </c>
      <c r="U16" s="8">
        <f t="shared" si="2"/>
        <v>0.33333333333333331</v>
      </c>
    </row>
    <row r="17" spans="1:21">
      <c r="A17" s="4" t="s">
        <v>36</v>
      </c>
      <c r="B17" s="4" t="s">
        <v>33</v>
      </c>
      <c r="C17" s="4" t="s">
        <v>37</v>
      </c>
      <c r="D17" s="5" t="s">
        <v>35</v>
      </c>
      <c r="E17" s="5" t="s">
        <v>35</v>
      </c>
      <c r="F17" s="5" t="s">
        <v>35</v>
      </c>
      <c r="G17" s="5" t="s">
        <v>35</v>
      </c>
      <c r="H17" s="5"/>
      <c r="I17" s="5" t="s">
        <v>15</v>
      </c>
      <c r="J17" s="5" t="s">
        <v>15</v>
      </c>
      <c r="K17" s="5" t="s">
        <v>15</v>
      </c>
      <c r="L17" s="5" t="s">
        <v>15</v>
      </c>
      <c r="M17" s="5" t="s">
        <v>15</v>
      </c>
      <c r="N17" s="5" t="s">
        <v>15</v>
      </c>
      <c r="O17" s="5" t="s">
        <v>15</v>
      </c>
      <c r="P17" s="5" cm="1">
        <f t="array" ref="P17">SUM(COUNTIF(D17:O17, {"◯","●","◯●"}))</f>
        <v>11</v>
      </c>
      <c r="Q17" s="6">
        <f t="shared" ca="1" si="5"/>
        <v>11</v>
      </c>
      <c r="R17" s="7" cm="1">
        <f t="array" ref="R17">SUM(COUNTIF(J17:L17, {"*◯*","*●*"})) - COUNTIF(J17:L17, "*◯●*")</f>
        <v>3</v>
      </c>
      <c r="S17" s="6">
        <f t="shared" si="3"/>
        <v>1</v>
      </c>
      <c r="T17">
        <f t="shared" si="1"/>
        <v>3</v>
      </c>
      <c r="U17" s="8">
        <f t="shared" si="2"/>
        <v>1</v>
      </c>
    </row>
    <row r="18" spans="1:21">
      <c r="A18" s="4" t="s">
        <v>38</v>
      </c>
      <c r="B18" s="4" t="s">
        <v>33</v>
      </c>
      <c r="C18" s="4" t="s">
        <v>39</v>
      </c>
      <c r="D18" s="5"/>
      <c r="E18" s="5" t="s">
        <v>35</v>
      </c>
      <c r="F18" s="5"/>
      <c r="G18" s="5" t="s">
        <v>23</v>
      </c>
      <c r="H18" s="10" t="s">
        <v>35</v>
      </c>
      <c r="I18" s="5" t="s">
        <v>15</v>
      </c>
      <c r="J18" s="5"/>
      <c r="K18" s="5" t="s">
        <v>15</v>
      </c>
      <c r="L18" s="5" t="s">
        <v>15</v>
      </c>
      <c r="M18" s="5" t="s">
        <v>15</v>
      </c>
      <c r="N18" s="5" t="s">
        <v>15</v>
      </c>
      <c r="O18" s="5" t="s">
        <v>15</v>
      </c>
      <c r="P18" s="5" cm="1">
        <f t="array" ref="P18">SUM(COUNTIF(D18:O18, {"◯","●","◯●"}))</f>
        <v>9</v>
      </c>
      <c r="Q18" s="6">
        <f t="shared" ca="1" si="5"/>
        <v>9</v>
      </c>
      <c r="R18" s="7" cm="1">
        <f t="array" ref="R18">SUM(COUNTIF(J18:L18, {"*◯*","*●*"})) - COUNTIF(J18:L18, "*◯●*")</f>
        <v>2</v>
      </c>
      <c r="S18" s="6">
        <f t="shared" si="3"/>
        <v>0.66666666666666663</v>
      </c>
      <c r="T18">
        <f t="shared" si="1"/>
        <v>3</v>
      </c>
      <c r="U18" s="8">
        <f t="shared" si="2"/>
        <v>1</v>
      </c>
    </row>
    <row r="19" spans="1:21">
      <c r="A19" s="4" t="s">
        <v>40</v>
      </c>
      <c r="B19" s="4" t="s">
        <v>33</v>
      </c>
      <c r="C19" s="4" t="s">
        <v>41</v>
      </c>
      <c r="D19" s="5" t="s">
        <v>35</v>
      </c>
      <c r="E19" s="5" t="s">
        <v>35</v>
      </c>
      <c r="F19" s="5"/>
      <c r="G19" s="5" t="s">
        <v>35</v>
      </c>
      <c r="H19" s="5" t="s">
        <v>35</v>
      </c>
      <c r="I19" s="5" t="s">
        <v>15</v>
      </c>
      <c r="J19" s="5" t="s">
        <v>15</v>
      </c>
      <c r="K19" s="5" t="s">
        <v>15</v>
      </c>
      <c r="L19" s="5" t="s">
        <v>15</v>
      </c>
      <c r="M19" s="5" t="s">
        <v>15</v>
      </c>
      <c r="N19" s="5" t="s">
        <v>15</v>
      </c>
      <c r="O19" s="5" t="s">
        <v>15</v>
      </c>
      <c r="P19" s="5" cm="1">
        <f t="array" ref="P19">SUM(COUNTIF(D19:O19, {"◯","●","◯●"}))</f>
        <v>11</v>
      </c>
      <c r="Q19" s="6">
        <f t="shared" ca="1" si="5"/>
        <v>11</v>
      </c>
      <c r="R19" s="7" cm="1">
        <f t="array" ref="R19">SUM(COUNTIF(J19:L19, {"*◯*","*●*"})) - COUNTIF(J19:L19, "*◯●*")</f>
        <v>3</v>
      </c>
      <c r="S19" s="6">
        <f t="shared" si="3"/>
        <v>1</v>
      </c>
      <c r="T19">
        <f t="shared" si="1"/>
        <v>3</v>
      </c>
      <c r="U19" s="8">
        <f t="shared" si="2"/>
        <v>1</v>
      </c>
    </row>
    <row r="20" spans="1:21">
      <c r="A20" s="4" t="s">
        <v>42</v>
      </c>
      <c r="B20" s="4" t="s">
        <v>33</v>
      </c>
      <c r="C20" s="4" t="s">
        <v>39</v>
      </c>
      <c r="D20" s="5"/>
      <c r="E20" s="5" t="s">
        <v>35</v>
      </c>
      <c r="F20" s="5"/>
      <c r="G20" s="5" t="s">
        <v>35</v>
      </c>
      <c r="H20" s="5"/>
      <c r="I20" s="5" t="s">
        <v>15</v>
      </c>
      <c r="J20" s="5" t="s">
        <v>15</v>
      </c>
      <c r="K20" s="5"/>
      <c r="L20" s="5" t="s">
        <v>43</v>
      </c>
      <c r="M20" s="5" t="s">
        <v>44</v>
      </c>
      <c r="N20" s="5" t="s">
        <v>44</v>
      </c>
      <c r="O20" s="5" t="s">
        <v>44</v>
      </c>
      <c r="P20" s="5" cm="1">
        <f t="array" ref="P20">SUM(COUNTIF(D20:O20, {"◯","●","◯●"}))</f>
        <v>4</v>
      </c>
      <c r="Q20" s="6">
        <f t="shared" ca="1" si="5"/>
        <v>4</v>
      </c>
      <c r="R20" s="7" cm="1">
        <f t="array" ref="R20">SUM(COUNTIF(J20:L20, {"*◯*","*●*"})) - COUNTIF(J20:L20, "*◯●*")</f>
        <v>1</v>
      </c>
      <c r="S20" s="6">
        <f t="shared" si="3"/>
        <v>0.33333333333333331</v>
      </c>
      <c r="T20">
        <f t="shared" si="1"/>
        <v>0</v>
      </c>
      <c r="U20" s="8">
        <f t="shared" si="2"/>
        <v>0</v>
      </c>
    </row>
    <row r="21" spans="1:21">
      <c r="A21" s="4" t="s">
        <v>45</v>
      </c>
      <c r="B21" s="4" t="s">
        <v>33</v>
      </c>
      <c r="C21" s="4" t="s">
        <v>39</v>
      </c>
      <c r="D21" s="5"/>
      <c r="E21" s="5" t="s">
        <v>35</v>
      </c>
      <c r="F21" s="5"/>
      <c r="G21" s="5" t="s">
        <v>23</v>
      </c>
      <c r="H21" s="5"/>
      <c r="I21" s="5" t="s">
        <v>15</v>
      </c>
      <c r="J21" s="5" t="s">
        <v>15</v>
      </c>
      <c r="K21" s="5" t="s">
        <v>15</v>
      </c>
      <c r="L21" s="5" t="s">
        <v>15</v>
      </c>
      <c r="M21" s="5" t="s">
        <v>15</v>
      </c>
      <c r="N21" s="5" t="s">
        <v>15</v>
      </c>
      <c r="O21" s="5" t="s">
        <v>15</v>
      </c>
      <c r="P21" s="5" cm="1">
        <f t="array" ref="P21">SUM(COUNTIF(D21:O21, {"◯","●","◯●"}))</f>
        <v>9</v>
      </c>
      <c r="Q21" s="6">
        <f t="shared" ca="1" si="5"/>
        <v>9</v>
      </c>
      <c r="R21" s="7" cm="1">
        <f t="array" ref="R21">SUM(COUNTIF(J21:L21, {"*◯*","*●*"})) - COUNTIF(J21:L21, "*◯●*")</f>
        <v>3</v>
      </c>
      <c r="S21" s="6">
        <f t="shared" si="3"/>
        <v>1</v>
      </c>
      <c r="T21">
        <f t="shared" si="1"/>
        <v>3</v>
      </c>
      <c r="U21" s="8">
        <f t="shared" si="2"/>
        <v>1</v>
      </c>
    </row>
    <row r="22" spans="1:21">
      <c r="A22" s="11" t="s">
        <v>46</v>
      </c>
      <c r="B22" s="4" t="s">
        <v>33</v>
      </c>
      <c r="C22" s="4" t="s">
        <v>37</v>
      </c>
      <c r="D22" s="5"/>
      <c r="E22" s="5"/>
      <c r="F22" s="5"/>
      <c r="G22" s="5" t="s">
        <v>47</v>
      </c>
      <c r="H22" s="5"/>
      <c r="I22" s="5"/>
      <c r="J22" s="10" t="s">
        <v>15</v>
      </c>
      <c r="K22" s="5" t="s">
        <v>15</v>
      </c>
      <c r="L22" s="5"/>
      <c r="M22" s="5"/>
      <c r="N22" s="5" t="s">
        <v>15</v>
      </c>
      <c r="O22" s="5"/>
      <c r="P22" s="5" cm="1">
        <f t="array" ref="P22">SUM(COUNTIF(D22:O22, {"◯","●","◯●"}))</f>
        <v>4</v>
      </c>
      <c r="Q22" s="6">
        <f t="shared" ca="1" si="5"/>
        <v>4</v>
      </c>
      <c r="R22" s="7" cm="1">
        <f t="array" ref="R22">SUM(COUNTIF(J22:L22, {"*◯*","*●*"})) - COUNTIF(J22:L22, "*◯●*")</f>
        <v>2</v>
      </c>
      <c r="S22" s="6">
        <f t="shared" si="3"/>
        <v>0.66666666666666663</v>
      </c>
      <c r="T22">
        <f t="shared" si="1"/>
        <v>1</v>
      </c>
      <c r="U22" s="8">
        <f t="shared" si="2"/>
        <v>0.33333333333333331</v>
      </c>
    </row>
    <row r="23" spans="1:21">
      <c r="A23" s="4" t="s">
        <v>48</v>
      </c>
      <c r="B23" s="4" t="s">
        <v>49</v>
      </c>
      <c r="C23" s="4" t="s">
        <v>50</v>
      </c>
      <c r="D23" s="5" t="s">
        <v>12</v>
      </c>
      <c r="E23" s="5" t="s">
        <v>35</v>
      </c>
      <c r="F23" s="5"/>
      <c r="G23" s="5"/>
      <c r="H23" s="5" t="s">
        <v>12</v>
      </c>
      <c r="I23" s="5"/>
      <c r="J23" s="5"/>
      <c r="K23" s="5" t="s">
        <v>12</v>
      </c>
      <c r="L23" s="5"/>
      <c r="M23" s="5"/>
      <c r="N23" s="5"/>
      <c r="O23" s="5"/>
      <c r="P23" s="5" cm="1">
        <f t="array" ref="P23">SUM(COUNTIF(D23:O23, {"◯","●","◯●"}))</f>
        <v>4</v>
      </c>
      <c r="Q23" s="6">
        <f t="shared" ca="1" si="5"/>
        <v>4</v>
      </c>
      <c r="R23" s="7" cm="1">
        <f t="array" ref="R23">SUM(COUNTIF(J23:L23, {"*◯*","*●*"})) - COUNTIF(J23:L23, "*◯●*")</f>
        <v>1</v>
      </c>
      <c r="S23" s="6">
        <f t="shared" si="3"/>
        <v>0.33333333333333331</v>
      </c>
      <c r="T23">
        <f t="shared" si="1"/>
        <v>0</v>
      </c>
      <c r="U23" s="8">
        <f t="shared" si="2"/>
        <v>0</v>
      </c>
    </row>
    <row r="24" spans="1:21">
      <c r="A24" s="4" t="s">
        <v>51</v>
      </c>
      <c r="B24" s="4" t="s">
        <v>52</v>
      </c>
      <c r="C24" s="4" t="s">
        <v>50</v>
      </c>
      <c r="D24" s="5" t="s">
        <v>15</v>
      </c>
      <c r="E24" s="5" t="s">
        <v>15</v>
      </c>
      <c r="F24" s="5" t="s">
        <v>15</v>
      </c>
      <c r="G24" s="5" t="s">
        <v>15</v>
      </c>
      <c r="H24" s="5" t="s">
        <v>15</v>
      </c>
      <c r="I24" s="5"/>
      <c r="J24" s="5" t="s">
        <v>15</v>
      </c>
      <c r="K24" s="5" t="s">
        <v>15</v>
      </c>
      <c r="L24" s="5" t="s">
        <v>15</v>
      </c>
      <c r="M24" s="5" t="s">
        <v>15</v>
      </c>
      <c r="N24" s="5" t="s">
        <v>15</v>
      </c>
      <c r="O24" s="5" t="s">
        <v>15</v>
      </c>
      <c r="P24" s="5" cm="1">
        <f t="array" ref="P24">SUM(COUNTIF(D24:O24, {"◯","●","◯●"}))</f>
        <v>11</v>
      </c>
      <c r="Q24" s="6">
        <f t="shared" ca="1" si="5"/>
        <v>11</v>
      </c>
      <c r="R24" s="7" cm="1">
        <f t="array" ref="R24">SUM(COUNTIF(J24:L24, {"*◯*","*●*"})) - COUNTIF(J24:L24, "*◯●*")</f>
        <v>3</v>
      </c>
      <c r="S24" s="6">
        <f t="shared" si="3"/>
        <v>1</v>
      </c>
      <c r="T24">
        <f t="shared" si="1"/>
        <v>3</v>
      </c>
      <c r="U24" s="8">
        <f t="shared" si="2"/>
        <v>1</v>
      </c>
    </row>
    <row r="25" spans="1:21">
      <c r="A25" s="4" t="s">
        <v>53</v>
      </c>
      <c r="B25" s="4" t="s">
        <v>52</v>
      </c>
      <c r="C25" s="4" t="s">
        <v>50</v>
      </c>
      <c r="D25" s="5" t="s">
        <v>15</v>
      </c>
      <c r="E25" s="5" t="s">
        <v>15</v>
      </c>
      <c r="F25" s="5" t="s">
        <v>15</v>
      </c>
      <c r="G25" s="5" t="s">
        <v>15</v>
      </c>
      <c r="H25" s="5" t="s">
        <v>15</v>
      </c>
      <c r="I25" s="5" t="s">
        <v>15</v>
      </c>
      <c r="J25" s="5" t="s">
        <v>15</v>
      </c>
      <c r="K25" s="5" t="s">
        <v>15</v>
      </c>
      <c r="L25" s="5" t="s">
        <v>15</v>
      </c>
      <c r="M25" s="5" t="s">
        <v>15</v>
      </c>
      <c r="N25" s="5" t="s">
        <v>15</v>
      </c>
      <c r="O25" s="5" t="s">
        <v>15</v>
      </c>
      <c r="P25" s="5" cm="1">
        <f t="array" ref="P25">SUM(COUNTIF(D25:O25, {"◯","●","◯●"}))</f>
        <v>12</v>
      </c>
      <c r="Q25" s="6">
        <f t="shared" ca="1" si="5"/>
        <v>12</v>
      </c>
      <c r="R25" s="7" cm="1">
        <f t="array" ref="R25">SUM(COUNTIF(J25:L25, {"*◯*","*●*"})) - COUNTIF(J25:L25, "*◯●*")</f>
        <v>3</v>
      </c>
      <c r="S25" s="6">
        <f t="shared" si="3"/>
        <v>1</v>
      </c>
      <c r="T25">
        <f t="shared" si="1"/>
        <v>3</v>
      </c>
      <c r="U25" s="8">
        <f t="shared" si="2"/>
        <v>1</v>
      </c>
    </row>
    <row r="26" spans="1:21">
      <c r="A26" s="4" t="s">
        <v>54</v>
      </c>
      <c r="B26" s="4" t="s">
        <v>52</v>
      </c>
      <c r="C26" s="4" t="s">
        <v>50</v>
      </c>
      <c r="D26" s="5" t="s">
        <v>15</v>
      </c>
      <c r="E26" s="5" t="s">
        <v>15</v>
      </c>
      <c r="F26" s="5" t="s">
        <v>15</v>
      </c>
      <c r="G26" s="5" t="s">
        <v>15</v>
      </c>
      <c r="H26" s="5" t="s">
        <v>47</v>
      </c>
      <c r="I26" s="5"/>
      <c r="J26" s="5" t="s">
        <v>15</v>
      </c>
      <c r="K26" s="5" t="s">
        <v>15</v>
      </c>
      <c r="L26" s="5" t="s">
        <v>15</v>
      </c>
      <c r="M26" s="5" t="s">
        <v>15</v>
      </c>
      <c r="N26" s="5" t="s">
        <v>15</v>
      </c>
      <c r="O26" s="5" t="s">
        <v>15</v>
      </c>
      <c r="P26" s="5" cm="1">
        <f t="array" ref="P26">SUM(COUNTIF(D26:O26, {"◯","●","◯●"}))</f>
        <v>11</v>
      </c>
      <c r="Q26" s="6">
        <f t="shared" ca="1" si="5"/>
        <v>11</v>
      </c>
      <c r="R26" s="7" cm="1">
        <f t="array" ref="R26">SUM(COUNTIF(J26:L26, {"*◯*","*●*"})) - COUNTIF(J26:L26, "*◯●*")</f>
        <v>3</v>
      </c>
      <c r="S26" s="6">
        <f t="shared" si="3"/>
        <v>1</v>
      </c>
      <c r="T26">
        <f t="shared" si="1"/>
        <v>3</v>
      </c>
      <c r="U26" s="8">
        <f t="shared" si="2"/>
        <v>1</v>
      </c>
    </row>
    <row r="27" spans="1:21">
      <c r="A27" s="4" t="s">
        <v>55</v>
      </c>
      <c r="B27" s="4" t="s">
        <v>49</v>
      </c>
      <c r="C27" s="4" t="s">
        <v>50</v>
      </c>
      <c r="D27" s="5"/>
      <c r="E27" s="5"/>
      <c r="F27" s="5"/>
      <c r="G27" s="5"/>
      <c r="H27" s="5"/>
      <c r="I27" s="5"/>
      <c r="J27" s="5"/>
      <c r="K27" s="5"/>
      <c r="L27" s="5" t="s">
        <v>56</v>
      </c>
      <c r="M27" s="5" t="s">
        <v>15</v>
      </c>
      <c r="N27" s="5" t="s">
        <v>15</v>
      </c>
      <c r="O27" s="5" t="s">
        <v>15</v>
      </c>
      <c r="P27" s="5" cm="1">
        <f t="array" ref="P27">SUM(COUNTIF(D27:O27, {"◯","●","◯●"}))</f>
        <v>3</v>
      </c>
      <c r="Q27" s="6">
        <f t="shared" ca="1" si="5"/>
        <v>3</v>
      </c>
      <c r="R27" s="7" cm="1">
        <f t="array" ref="R27">SUM(COUNTIF(J27:L27, {"*◯*","*●*"})) - COUNTIF(J27:L27, "*◯●*")</f>
        <v>0</v>
      </c>
      <c r="S27" s="6">
        <f t="shared" si="3"/>
        <v>0</v>
      </c>
      <c r="T27">
        <f t="shared" si="1"/>
        <v>3</v>
      </c>
      <c r="U27" s="8">
        <f t="shared" si="2"/>
        <v>1</v>
      </c>
    </row>
    <row r="28" spans="1:21">
      <c r="A28" s="4" t="s">
        <v>57</v>
      </c>
      <c r="B28" s="4" t="s">
        <v>52</v>
      </c>
      <c r="C28" s="4" t="s">
        <v>39</v>
      </c>
      <c r="D28" s="5" t="s">
        <v>15</v>
      </c>
      <c r="E28" s="5" t="s">
        <v>15</v>
      </c>
      <c r="F28" s="5" t="s">
        <v>23</v>
      </c>
      <c r="G28" s="5" t="s">
        <v>15</v>
      </c>
      <c r="H28" s="5" t="s">
        <v>15</v>
      </c>
      <c r="I28" s="5"/>
      <c r="J28" s="5" t="s">
        <v>15</v>
      </c>
      <c r="K28" s="5" t="s">
        <v>15</v>
      </c>
      <c r="L28" s="5" t="s">
        <v>43</v>
      </c>
      <c r="M28" s="5" t="s">
        <v>44</v>
      </c>
      <c r="N28" s="5" t="s">
        <v>44</v>
      </c>
      <c r="O28" s="5" t="s">
        <v>44</v>
      </c>
      <c r="P28" s="5" cm="1">
        <f t="array" ref="P28">SUM(COUNTIF(D28:O28, {"◯","●","◯●"}))</f>
        <v>7</v>
      </c>
      <c r="Q28" s="6">
        <f t="shared" ca="1" si="5"/>
        <v>7</v>
      </c>
      <c r="R28" s="7" cm="1">
        <f t="array" ref="R28">SUM(COUNTIF(J28:L28, {"*◯*","*●*"})) - COUNTIF(J28:L28, "*◯●*")</f>
        <v>2</v>
      </c>
      <c r="S28" s="6">
        <f t="shared" si="3"/>
        <v>0.66666666666666663</v>
      </c>
      <c r="T28">
        <f t="shared" si="1"/>
        <v>0</v>
      </c>
      <c r="U28" s="8">
        <f t="shared" si="2"/>
        <v>0</v>
      </c>
    </row>
    <row r="29" spans="1:21">
      <c r="A29" s="4" t="s">
        <v>58</v>
      </c>
      <c r="B29" s="4" t="s">
        <v>59</v>
      </c>
      <c r="C29" s="4" t="s">
        <v>60</v>
      </c>
      <c r="D29" s="5" t="s">
        <v>12</v>
      </c>
      <c r="E29" s="5"/>
      <c r="F29" s="5"/>
      <c r="G29" s="5" t="s">
        <v>12</v>
      </c>
      <c r="H29" s="5"/>
      <c r="I29" s="5"/>
      <c r="J29" s="5"/>
      <c r="K29" s="5"/>
      <c r="L29" s="5"/>
      <c r="M29" s="5"/>
      <c r="N29" s="5"/>
      <c r="O29" s="5"/>
      <c r="P29" s="5" cm="1">
        <f t="array" ref="P29">SUM(COUNTIF(D29:O29, {"◯","●","◯●"}))</f>
        <v>2</v>
      </c>
      <c r="Q29" s="6">
        <f t="shared" ca="1" si="5"/>
        <v>2</v>
      </c>
      <c r="R29" s="7" cm="1">
        <f t="array" ref="R29">SUM(COUNTIF(J29:L29, {"*◯*","*●*"})) - COUNTIF(J29:L29, "*◯●*")</f>
        <v>0</v>
      </c>
      <c r="S29" s="6">
        <f t="shared" si="3"/>
        <v>0</v>
      </c>
      <c r="T29">
        <f t="shared" si="1"/>
        <v>0</v>
      </c>
      <c r="U29" s="8">
        <f t="shared" si="2"/>
        <v>0</v>
      </c>
    </row>
    <row r="30" spans="1:21">
      <c r="A30" s="4" t="s">
        <v>61</v>
      </c>
      <c r="B30" s="4" t="s">
        <v>59</v>
      </c>
      <c r="C30" s="4" t="s">
        <v>60</v>
      </c>
      <c r="D30" s="5" t="s">
        <v>15</v>
      </c>
      <c r="E30" s="5"/>
      <c r="F30" s="5"/>
      <c r="G30" s="5" t="s">
        <v>15</v>
      </c>
      <c r="H30" s="5" t="s">
        <v>23</v>
      </c>
      <c r="I30" s="5" t="s">
        <v>15</v>
      </c>
      <c r="J30" s="5" t="s">
        <v>15</v>
      </c>
      <c r="K30" s="5" t="s">
        <v>15</v>
      </c>
      <c r="L30" s="5"/>
      <c r="M30" s="5" t="s">
        <v>15</v>
      </c>
      <c r="N30" s="5"/>
      <c r="O30" s="5" t="s">
        <v>15</v>
      </c>
      <c r="P30" s="5" cm="1">
        <f t="array" ref="P30">SUM(COUNTIF(D30:O30, {"◯","●","◯●"}))</f>
        <v>8</v>
      </c>
      <c r="Q30" s="6">
        <f t="shared" ca="1" si="5"/>
        <v>8</v>
      </c>
      <c r="R30" s="7" cm="1">
        <f t="array" ref="R30">SUM(COUNTIF(J30:L30, {"*◯*","*●*"})) - COUNTIF(J30:L30, "*◯●*")</f>
        <v>2</v>
      </c>
      <c r="S30" s="6">
        <f t="shared" si="3"/>
        <v>0.66666666666666663</v>
      </c>
      <c r="T30">
        <f t="shared" si="1"/>
        <v>2</v>
      </c>
      <c r="U30" s="8">
        <f t="shared" si="2"/>
        <v>0.66666666666666663</v>
      </c>
    </row>
    <row r="31" spans="1:21">
      <c r="A31" s="4" t="s">
        <v>62</v>
      </c>
      <c r="B31" s="4" t="s">
        <v>59</v>
      </c>
      <c r="C31" s="4" t="s">
        <v>60</v>
      </c>
      <c r="D31" s="5" t="s">
        <v>15</v>
      </c>
      <c r="E31" s="5" t="s">
        <v>15</v>
      </c>
      <c r="F31" s="5"/>
      <c r="G31" s="5" t="s">
        <v>15</v>
      </c>
      <c r="H31" s="5" t="s">
        <v>23</v>
      </c>
      <c r="I31" s="5" t="s">
        <v>15</v>
      </c>
      <c r="J31" s="5" t="s">
        <v>15</v>
      </c>
      <c r="K31" s="5" t="s">
        <v>15</v>
      </c>
      <c r="L31" s="5"/>
      <c r="M31" s="5" t="s">
        <v>15</v>
      </c>
      <c r="N31" s="5" t="s">
        <v>15</v>
      </c>
      <c r="O31" s="5" t="s">
        <v>35</v>
      </c>
      <c r="P31" s="5" cm="1">
        <f t="array" ref="P31">SUM(COUNTIF(D31:O31, {"◯","●","◯●"}))</f>
        <v>10</v>
      </c>
      <c r="Q31" s="6">
        <f t="shared" ca="1" si="5"/>
        <v>10</v>
      </c>
      <c r="R31" s="7" cm="1">
        <f t="array" ref="R31">SUM(COUNTIF(J31:L31, {"*◯*","*●*"})) - COUNTIF(J31:L31, "*◯●*")</f>
        <v>2</v>
      </c>
      <c r="S31" s="6">
        <f t="shared" si="3"/>
        <v>0.66666666666666663</v>
      </c>
      <c r="T31">
        <f t="shared" si="1"/>
        <v>3</v>
      </c>
      <c r="U31" s="8">
        <f t="shared" si="2"/>
        <v>1</v>
      </c>
    </row>
    <row r="32" spans="1:21">
      <c r="A32" s="4" t="s">
        <v>63</v>
      </c>
      <c r="B32" s="4" t="s">
        <v>59</v>
      </c>
      <c r="C32" s="4" t="s">
        <v>60</v>
      </c>
      <c r="D32" s="5" t="s">
        <v>15</v>
      </c>
      <c r="E32" s="5"/>
      <c r="F32" s="5"/>
      <c r="G32" s="5" t="s">
        <v>15</v>
      </c>
      <c r="H32" s="5" t="s">
        <v>23</v>
      </c>
      <c r="I32" s="5" t="s">
        <v>15</v>
      </c>
      <c r="J32" s="5" t="s">
        <v>15</v>
      </c>
      <c r="K32" s="5" t="s">
        <v>15</v>
      </c>
      <c r="L32" s="5"/>
      <c r="M32" s="5" t="s">
        <v>15</v>
      </c>
      <c r="N32" s="5" t="s">
        <v>15</v>
      </c>
      <c r="O32" s="5"/>
      <c r="P32" s="5" cm="1">
        <f t="array" ref="P32">SUM(COUNTIF(D32:O32, {"◯","●","◯●"}))</f>
        <v>8</v>
      </c>
      <c r="Q32" s="6">
        <f t="shared" ca="1" si="5"/>
        <v>8</v>
      </c>
      <c r="R32" s="7" cm="1">
        <f t="array" ref="R32">SUM(COUNTIF(J32:L32, {"*◯*","*●*"})) - COUNTIF(J32:L32, "*◯●*")</f>
        <v>2</v>
      </c>
      <c r="S32" s="6">
        <f t="shared" si="3"/>
        <v>0.66666666666666663</v>
      </c>
      <c r="T32">
        <f t="shared" si="1"/>
        <v>2</v>
      </c>
      <c r="U32" s="8">
        <f t="shared" si="2"/>
        <v>0.66666666666666663</v>
      </c>
    </row>
    <row r="33" spans="1:21">
      <c r="A33" s="4" t="s">
        <v>64</v>
      </c>
      <c r="B33" s="4" t="s">
        <v>59</v>
      </c>
      <c r="C33" s="4" t="s">
        <v>60</v>
      </c>
      <c r="D33" s="5" t="s">
        <v>15</v>
      </c>
      <c r="E33" s="5"/>
      <c r="F33" s="5"/>
      <c r="G33" s="5" t="s">
        <v>15</v>
      </c>
      <c r="H33" s="5" t="s">
        <v>23</v>
      </c>
      <c r="I33" s="5" t="s">
        <v>15</v>
      </c>
      <c r="J33" s="5" t="s">
        <v>15</v>
      </c>
      <c r="K33" s="5" t="s">
        <v>15</v>
      </c>
      <c r="L33" s="5"/>
      <c r="M33" s="5" t="s">
        <v>15</v>
      </c>
      <c r="N33" s="5" t="s">
        <v>15</v>
      </c>
      <c r="O33" s="5" t="s">
        <v>35</v>
      </c>
      <c r="P33" s="5" cm="1">
        <f t="array" ref="P33">SUM(COUNTIF(D33:O33, {"◯","●","◯●"}))</f>
        <v>9</v>
      </c>
      <c r="Q33" s="6">
        <f t="shared" ca="1" si="5"/>
        <v>9</v>
      </c>
      <c r="R33" s="7" cm="1">
        <f t="array" ref="R33">SUM(COUNTIF(J33:L33, {"*◯*","*●*"})) - COUNTIF(J33:L33, "*◯●*")</f>
        <v>2</v>
      </c>
      <c r="S33" s="6">
        <f t="shared" si="3"/>
        <v>0.66666666666666663</v>
      </c>
      <c r="T33">
        <f t="shared" si="1"/>
        <v>3</v>
      </c>
      <c r="U33" s="8">
        <f t="shared" si="2"/>
        <v>1</v>
      </c>
    </row>
    <row r="34" spans="1:21">
      <c r="A34" s="4" t="s">
        <v>65</v>
      </c>
      <c r="B34" s="4" t="s">
        <v>59</v>
      </c>
      <c r="C34" s="4" t="s">
        <v>66</v>
      </c>
      <c r="D34" s="5" t="s">
        <v>15</v>
      </c>
      <c r="E34" s="5"/>
      <c r="F34" s="5"/>
      <c r="G34" s="5" t="s">
        <v>15</v>
      </c>
      <c r="H34" s="5" t="s">
        <v>23</v>
      </c>
      <c r="I34" s="5" t="s">
        <v>15</v>
      </c>
      <c r="J34" s="5" t="s">
        <v>15</v>
      </c>
      <c r="K34" s="5" t="s">
        <v>15</v>
      </c>
      <c r="L34" s="5"/>
      <c r="M34" s="5" t="s">
        <v>15</v>
      </c>
      <c r="N34" s="5" t="s">
        <v>15</v>
      </c>
      <c r="O34" s="5" t="s">
        <v>35</v>
      </c>
      <c r="P34" s="5" cm="1">
        <f t="array" ref="P34">SUM(COUNTIF(D34:O34, {"◯","●","◯●"}))</f>
        <v>9</v>
      </c>
      <c r="Q34" s="6">
        <f t="shared" ca="1" si="5"/>
        <v>9</v>
      </c>
      <c r="R34" s="7" cm="1">
        <f t="array" ref="R34">SUM(COUNTIF(J34:L34, {"*◯*","*●*"})) - COUNTIF(J34:L34, "*◯●*")</f>
        <v>2</v>
      </c>
      <c r="S34" s="6">
        <f t="shared" si="3"/>
        <v>0.66666666666666663</v>
      </c>
      <c r="T34">
        <f t="shared" si="1"/>
        <v>3</v>
      </c>
      <c r="U34" s="8">
        <f t="shared" si="2"/>
        <v>1</v>
      </c>
    </row>
    <row r="35" spans="1:21">
      <c r="A35" s="4" t="s">
        <v>67</v>
      </c>
      <c r="B35" s="4" t="s">
        <v>68</v>
      </c>
      <c r="C35" s="4" t="s">
        <v>69</v>
      </c>
      <c r="D35" s="5" t="s">
        <v>12</v>
      </c>
      <c r="E35" s="5"/>
      <c r="F35" s="5"/>
      <c r="G35" s="5"/>
      <c r="H35" s="5" t="s">
        <v>12</v>
      </c>
      <c r="I35" s="5"/>
      <c r="J35" s="5"/>
      <c r="K35" s="5"/>
      <c r="L35" s="5"/>
      <c r="M35" s="5"/>
      <c r="N35" s="5" t="s">
        <v>12</v>
      </c>
      <c r="O35" s="5"/>
      <c r="P35" s="5" cm="1">
        <f t="array" ref="P35">SUM(COUNTIF(D35:O35, {"◯","●","◯●"}))</f>
        <v>3</v>
      </c>
      <c r="Q35" s="6">
        <f t="shared" ca="1" si="5"/>
        <v>3</v>
      </c>
      <c r="R35" s="7" cm="1">
        <f t="array" ref="R35">SUM(COUNTIF(J35:L35, {"*◯*","*●*"})) - COUNTIF(J35:L35, "*◯●*")</f>
        <v>0</v>
      </c>
      <c r="S35" s="6">
        <f t="shared" si="3"/>
        <v>0</v>
      </c>
      <c r="T35">
        <f t="shared" si="1"/>
        <v>1</v>
      </c>
      <c r="U35" s="8">
        <f t="shared" si="2"/>
        <v>0.33333333333333331</v>
      </c>
    </row>
    <row r="36" spans="1:21">
      <c r="A36" s="4" t="s">
        <v>70</v>
      </c>
      <c r="B36" s="4" t="s">
        <v>68</v>
      </c>
      <c r="C36" s="4" t="s">
        <v>69</v>
      </c>
      <c r="D36" s="5" t="s">
        <v>15</v>
      </c>
      <c r="E36" s="5" t="s">
        <v>15</v>
      </c>
      <c r="F36" s="5" t="s">
        <v>15</v>
      </c>
      <c r="G36" s="5" t="s">
        <v>15</v>
      </c>
      <c r="H36" s="5" t="s">
        <v>23</v>
      </c>
      <c r="I36" s="5" t="s">
        <v>15</v>
      </c>
      <c r="J36" s="5" t="s">
        <v>15</v>
      </c>
      <c r="K36" s="5" t="s">
        <v>15</v>
      </c>
      <c r="L36" s="5" t="s">
        <v>15</v>
      </c>
      <c r="M36" s="5" t="s">
        <v>15</v>
      </c>
      <c r="N36" s="5" t="s">
        <v>15</v>
      </c>
      <c r="O36" s="5" t="s">
        <v>15</v>
      </c>
      <c r="P36" s="5" cm="1">
        <f t="array" ref="P36">SUM(COUNTIF(D36:O36, {"◯","●","◯●"}))</f>
        <v>12</v>
      </c>
      <c r="Q36" s="6">
        <f t="shared" ca="1" si="5"/>
        <v>12</v>
      </c>
      <c r="R36" s="7" cm="1">
        <f t="array" ref="R36">SUM(COUNTIF(J36:L36, {"*◯*","*●*"})) - COUNTIF(J36:L36, "*◯●*")</f>
        <v>3</v>
      </c>
      <c r="S36" s="6">
        <f t="shared" si="3"/>
        <v>1</v>
      </c>
      <c r="T36">
        <f t="shared" si="1"/>
        <v>3</v>
      </c>
      <c r="U36" s="8">
        <f t="shared" si="2"/>
        <v>1</v>
      </c>
    </row>
    <row r="37" spans="1:21">
      <c r="A37" s="4" t="s">
        <v>71</v>
      </c>
      <c r="B37" s="4" t="s">
        <v>68</v>
      </c>
      <c r="C37" s="4" t="s">
        <v>69</v>
      </c>
      <c r="D37" s="5" t="s">
        <v>15</v>
      </c>
      <c r="E37" s="5" t="s">
        <v>15</v>
      </c>
      <c r="F37" s="5" t="s">
        <v>15</v>
      </c>
      <c r="G37" s="5" t="s">
        <v>15</v>
      </c>
      <c r="H37" s="5" t="s">
        <v>15</v>
      </c>
      <c r="I37" s="5" t="s">
        <v>15</v>
      </c>
      <c r="J37" s="5" t="s">
        <v>15</v>
      </c>
      <c r="K37" s="5" t="s">
        <v>15</v>
      </c>
      <c r="L37" s="5" t="s">
        <v>15</v>
      </c>
      <c r="M37" s="5" t="s">
        <v>15</v>
      </c>
      <c r="N37" s="5" t="s">
        <v>15</v>
      </c>
      <c r="O37" s="5" t="s">
        <v>15</v>
      </c>
      <c r="P37" s="5" cm="1">
        <f t="array" ref="P37">SUM(COUNTIF(D37:O37, {"◯","●","◯●"}))</f>
        <v>12</v>
      </c>
      <c r="Q37" s="6">
        <f t="shared" ca="1" si="5"/>
        <v>12</v>
      </c>
      <c r="R37" s="7" cm="1">
        <f t="array" ref="R37">SUM(COUNTIF(J37:L37, {"*◯*","*●*"})) - COUNTIF(J37:L37, "*◯●*")</f>
        <v>3</v>
      </c>
      <c r="S37" s="6">
        <f t="shared" si="3"/>
        <v>1</v>
      </c>
      <c r="T37">
        <f t="shared" si="1"/>
        <v>3</v>
      </c>
      <c r="U37" s="8">
        <f t="shared" si="2"/>
        <v>1</v>
      </c>
    </row>
    <row r="38" spans="1:21">
      <c r="A38" s="4" t="s">
        <v>72</v>
      </c>
      <c r="B38" s="4" t="s">
        <v>73</v>
      </c>
      <c r="C38" s="4" t="s">
        <v>74</v>
      </c>
      <c r="D38" s="5" t="s">
        <v>12</v>
      </c>
      <c r="E38" s="5"/>
      <c r="F38" s="5"/>
      <c r="G38" s="5" t="s">
        <v>12</v>
      </c>
      <c r="H38" s="5"/>
      <c r="I38" s="5"/>
      <c r="J38" s="5"/>
      <c r="K38" s="5"/>
      <c r="L38" s="5"/>
      <c r="M38" s="5"/>
      <c r="N38" s="5"/>
      <c r="O38" s="5"/>
      <c r="P38" s="5" cm="1">
        <f t="array" ref="P38">SUM(COUNTIF(D38:O38, {"◯","●","◯●"}))</f>
        <v>2</v>
      </c>
      <c r="Q38" s="6">
        <f t="shared" ca="1" si="5"/>
        <v>2</v>
      </c>
      <c r="R38" s="7" cm="1">
        <f t="array" ref="R38">SUM(COUNTIF(J38:L38, {"*◯*","*●*"})) - COUNTIF(J38:L38, "*◯●*")</f>
        <v>0</v>
      </c>
      <c r="S38" s="6">
        <f t="shared" si="3"/>
        <v>0</v>
      </c>
      <c r="T38">
        <f t="shared" si="1"/>
        <v>0</v>
      </c>
      <c r="U38" s="8">
        <f t="shared" si="2"/>
        <v>0</v>
      </c>
    </row>
    <row r="39" spans="1:21">
      <c r="A39" s="4" t="s">
        <v>75</v>
      </c>
      <c r="B39" s="4" t="s">
        <v>73</v>
      </c>
      <c r="C39" s="4" t="s">
        <v>74</v>
      </c>
      <c r="D39" s="5" t="s">
        <v>15</v>
      </c>
      <c r="E39" s="5" t="s">
        <v>15</v>
      </c>
      <c r="F39" s="5" t="s">
        <v>15</v>
      </c>
      <c r="G39" s="5" t="s">
        <v>15</v>
      </c>
      <c r="H39" s="5" t="s">
        <v>15</v>
      </c>
      <c r="I39" s="5" t="s">
        <v>15</v>
      </c>
      <c r="J39" s="5" t="s">
        <v>15</v>
      </c>
      <c r="K39" s="5" t="s">
        <v>15</v>
      </c>
      <c r="L39" s="5" t="s">
        <v>15</v>
      </c>
      <c r="M39" s="5" t="s">
        <v>15</v>
      </c>
      <c r="N39" s="5" t="s">
        <v>15</v>
      </c>
      <c r="O39" s="5"/>
      <c r="P39" s="5" cm="1">
        <f t="array" ref="P39">SUM(COUNTIF(D39:O39, {"◯","●","◯●"}))</f>
        <v>11</v>
      </c>
      <c r="Q39" s="6">
        <f t="shared" ca="1" si="5"/>
        <v>11</v>
      </c>
      <c r="R39" s="7" cm="1">
        <f t="array" ref="R39">SUM(COUNTIF(J39:L39, {"*◯*","*●*"})) - COUNTIF(J39:L39, "*◯●*")</f>
        <v>3</v>
      </c>
      <c r="S39" s="6">
        <f t="shared" si="3"/>
        <v>1</v>
      </c>
      <c r="T39">
        <f t="shared" si="1"/>
        <v>2</v>
      </c>
      <c r="U39" s="8">
        <f t="shared" si="2"/>
        <v>0.66666666666666663</v>
      </c>
    </row>
    <row r="40" spans="1:21">
      <c r="A40" s="4" t="s">
        <v>76</v>
      </c>
      <c r="B40" s="4" t="s">
        <v>73</v>
      </c>
      <c r="C40" s="4" t="s">
        <v>74</v>
      </c>
      <c r="D40" s="5" t="s">
        <v>15</v>
      </c>
      <c r="E40" s="5" t="s">
        <v>15</v>
      </c>
      <c r="F40" s="5" t="s">
        <v>15</v>
      </c>
      <c r="G40" s="5" t="s">
        <v>15</v>
      </c>
      <c r="H40" s="5" t="s">
        <v>15</v>
      </c>
      <c r="I40" s="5" t="s">
        <v>15</v>
      </c>
      <c r="J40" s="5" t="s">
        <v>15</v>
      </c>
      <c r="K40" s="5" t="s">
        <v>15</v>
      </c>
      <c r="L40" s="5" t="s">
        <v>15</v>
      </c>
      <c r="M40" s="5" t="s">
        <v>15</v>
      </c>
      <c r="N40" s="5"/>
      <c r="O40" s="5"/>
      <c r="P40" s="5" cm="1">
        <f t="array" ref="P40">SUM(COUNTIF(D40:O40, {"◯","●","◯●"}))</f>
        <v>10</v>
      </c>
      <c r="Q40" s="6">
        <f t="shared" ca="1" si="5"/>
        <v>10</v>
      </c>
      <c r="R40" s="7" cm="1">
        <f t="array" ref="R40">SUM(COUNTIF(J40:L40, {"*◯*","*●*"})) - COUNTIF(J40:L40, "*◯●*")</f>
        <v>3</v>
      </c>
      <c r="S40" s="6">
        <f t="shared" si="3"/>
        <v>1</v>
      </c>
      <c r="T40">
        <f t="shared" si="1"/>
        <v>1</v>
      </c>
      <c r="U40" s="8">
        <f t="shared" si="2"/>
        <v>0.33333333333333331</v>
      </c>
    </row>
    <row r="41" spans="1:21">
      <c r="A41" s="4" t="s">
        <v>77</v>
      </c>
      <c r="B41" s="4" t="s">
        <v>73</v>
      </c>
      <c r="C41" s="4" t="s">
        <v>78</v>
      </c>
      <c r="D41" s="5" t="s">
        <v>15</v>
      </c>
      <c r="E41" s="5" t="s">
        <v>15</v>
      </c>
      <c r="F41" s="5" t="s">
        <v>15</v>
      </c>
      <c r="G41" s="5" t="s">
        <v>15</v>
      </c>
      <c r="H41" s="5" t="s">
        <v>15</v>
      </c>
      <c r="I41" s="5" t="s">
        <v>15</v>
      </c>
      <c r="J41" s="5" t="s">
        <v>15</v>
      </c>
      <c r="K41" s="5" t="s">
        <v>15</v>
      </c>
      <c r="L41" s="5" t="s">
        <v>15</v>
      </c>
      <c r="M41" s="5" t="s">
        <v>15</v>
      </c>
      <c r="N41" s="5" t="s">
        <v>15</v>
      </c>
      <c r="O41" s="5"/>
      <c r="P41" s="5" cm="1">
        <f t="array" ref="P41">SUM(COUNTIF(D41:O41, {"◯","●","◯●"}))</f>
        <v>11</v>
      </c>
      <c r="Q41" s="6">
        <f t="shared" ca="1" si="5"/>
        <v>11</v>
      </c>
      <c r="R41" s="7" cm="1">
        <f t="array" ref="R41">SUM(COUNTIF(J41:L41, {"*◯*","*●*"})) - COUNTIF(J41:L41, "*◯●*")</f>
        <v>3</v>
      </c>
      <c r="S41" s="6">
        <f t="shared" si="3"/>
        <v>1</v>
      </c>
      <c r="T41">
        <f t="shared" si="1"/>
        <v>2</v>
      </c>
      <c r="U41" s="8">
        <f t="shared" si="2"/>
        <v>0.66666666666666663</v>
      </c>
    </row>
    <row r="42" spans="1:21">
      <c r="A42" s="4" t="s">
        <v>79</v>
      </c>
      <c r="B42" s="4" t="s">
        <v>80</v>
      </c>
      <c r="C42" s="4" t="s">
        <v>27</v>
      </c>
      <c r="D42" s="5"/>
      <c r="E42" s="5"/>
      <c r="F42" s="5"/>
      <c r="G42" s="5" t="s">
        <v>12</v>
      </c>
      <c r="H42" s="5"/>
      <c r="I42" s="5"/>
      <c r="J42" s="5"/>
      <c r="K42" s="5"/>
      <c r="L42" s="5"/>
      <c r="M42" s="5"/>
      <c r="N42" s="5"/>
      <c r="O42" s="5"/>
      <c r="P42" s="5" cm="1">
        <f t="array" ref="P42">SUM(COUNTIF(D42:O42, {"◯","●","◯●"}))</f>
        <v>1</v>
      </c>
      <c r="Q42" s="6">
        <f t="shared" ca="1" si="5"/>
        <v>1</v>
      </c>
      <c r="R42" s="7" cm="1">
        <f t="array" ref="R42">SUM(COUNTIF(J42:L42, {"*◯*","*●*"})) - COUNTIF(J42:L42, "*◯●*")</f>
        <v>0</v>
      </c>
      <c r="S42" s="6">
        <f t="shared" si="3"/>
        <v>0</v>
      </c>
      <c r="T42">
        <f t="shared" si="1"/>
        <v>0</v>
      </c>
      <c r="U42" s="8">
        <f t="shared" si="2"/>
        <v>0</v>
      </c>
    </row>
    <row r="43" spans="1:21">
      <c r="A43" s="4" t="s">
        <v>81</v>
      </c>
      <c r="B43" s="4" t="s">
        <v>80</v>
      </c>
      <c r="C43" s="4" t="s">
        <v>82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 cm="1">
        <f t="array" ref="P43">SUM(COUNTIF(D43:O43, {"◯","●","◯●"}))</f>
        <v>0</v>
      </c>
      <c r="Q43" s="6">
        <f t="shared" ca="1" si="5"/>
        <v>0</v>
      </c>
      <c r="R43" s="7" cm="1">
        <f t="array" ref="R43">SUM(COUNTIF(J43:L43, {"*◯*","*●*"})) - COUNTIF(J43:L43, "*◯●*")</f>
        <v>0</v>
      </c>
      <c r="S43" s="6">
        <f t="shared" si="3"/>
        <v>0</v>
      </c>
      <c r="T43">
        <f t="shared" si="1"/>
        <v>0</v>
      </c>
      <c r="U43" s="8">
        <f t="shared" si="2"/>
        <v>0</v>
      </c>
    </row>
    <row r="44" spans="1:21">
      <c r="A44" s="11" t="s">
        <v>83</v>
      </c>
      <c r="B44" s="4" t="s">
        <v>80</v>
      </c>
      <c r="C44" s="11" t="s">
        <v>84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 cm="1">
        <f t="array" ref="P44">SUM(COUNTIF(D44:O44, {"◯","●","◯●"}))</f>
        <v>0</v>
      </c>
      <c r="Q44" s="6">
        <f t="shared" ca="1" si="5"/>
        <v>0</v>
      </c>
      <c r="R44" s="7" cm="1">
        <f t="array" ref="R44">SUM(COUNTIF(J44:L44, {"*◯*","*●*"})) - COUNTIF(J44:L44, "*◯●*")</f>
        <v>0</v>
      </c>
      <c r="S44" s="6">
        <f t="shared" si="3"/>
        <v>0</v>
      </c>
      <c r="T44">
        <f t="shared" si="1"/>
        <v>0</v>
      </c>
      <c r="U44" s="8">
        <f t="shared" si="2"/>
        <v>0</v>
      </c>
    </row>
    <row r="45" spans="1:21">
      <c r="A45" s="4" t="s">
        <v>85</v>
      </c>
      <c r="B45" s="4" t="s">
        <v>86</v>
      </c>
      <c r="C45" s="11" t="s">
        <v>87</v>
      </c>
      <c r="D45" s="5" t="s">
        <v>23</v>
      </c>
      <c r="E45" s="5" t="s">
        <v>15</v>
      </c>
      <c r="F45" s="5"/>
      <c r="G45" s="5" t="s">
        <v>87</v>
      </c>
      <c r="H45" s="5" t="s">
        <v>87</v>
      </c>
      <c r="I45" s="5" t="s">
        <v>87</v>
      </c>
      <c r="J45" s="5" t="s">
        <v>87</v>
      </c>
      <c r="K45" s="5" t="s">
        <v>87</v>
      </c>
      <c r="L45" s="5" t="s">
        <v>87</v>
      </c>
      <c r="M45" s="5" t="s">
        <v>87</v>
      </c>
      <c r="N45" s="5" t="s">
        <v>87</v>
      </c>
      <c r="O45" s="5" t="s">
        <v>87</v>
      </c>
      <c r="P45" s="5" cm="1">
        <f t="array" ref="P45">SUM(COUNTIF(D45:O45, {"◯","●","◯●"}))</f>
        <v>2</v>
      </c>
      <c r="Q45" s="6">
        <f ca="1">P45 / ( (YEAR(TODAY())*12 + MONTH(TODAY())) - (YEAR(TODAY()-(MONTH(TODAY())&lt;4)*365)*12 + 4) + 1 )</f>
        <v>2</v>
      </c>
      <c r="R45" s="7" cm="1">
        <f t="array" ref="R45">SUM(COUNTIF(J45:L45, {"*◯*","*●*"})) - COUNTIF(J45:L45, "*◯●*")</f>
        <v>0</v>
      </c>
      <c r="S45" s="6">
        <f t="shared" si="3"/>
        <v>0</v>
      </c>
      <c r="T45">
        <f t="shared" si="1"/>
        <v>0</v>
      </c>
      <c r="U45" s="8">
        <f t="shared" si="2"/>
        <v>0</v>
      </c>
    </row>
    <row r="46" spans="1:21">
      <c r="A46" s="11" t="s">
        <v>88</v>
      </c>
      <c r="B46" s="4" t="s">
        <v>86</v>
      </c>
      <c r="C46" s="11" t="s">
        <v>87</v>
      </c>
      <c r="D46" s="5"/>
      <c r="E46" s="5"/>
      <c r="F46" s="5"/>
      <c r="G46" s="5"/>
      <c r="H46" s="5"/>
      <c r="I46" s="5"/>
      <c r="J46" s="5"/>
      <c r="K46" s="5"/>
      <c r="L46" s="5" t="s">
        <v>56</v>
      </c>
      <c r="M46" s="5" t="s">
        <v>87</v>
      </c>
      <c r="N46" s="5" t="s">
        <v>87</v>
      </c>
      <c r="O46" s="5" t="s">
        <v>87</v>
      </c>
      <c r="P46" s="5" cm="1">
        <f t="array" ref="P46">SUM(COUNTIF(D46:O46, {"◯","●","◯●"}))</f>
        <v>0</v>
      </c>
      <c r="Q46" s="6">
        <f t="shared" ref="Q46:Q79" ca="1" si="6">P46 / ( (YEAR(TODAY())*12 + MONTH(TODAY())) - (YEAR(TODAY()-(MONTH(TODAY())&lt;4)*365)*12 + 4) + 1 )</f>
        <v>0</v>
      </c>
      <c r="R46" s="7" cm="1">
        <f t="array" ref="R46">SUM(COUNTIF(J46:L46, {"*◯*","*●*"})) - COUNTIF(J46:L46, "*◯●*")</f>
        <v>0</v>
      </c>
      <c r="S46" s="6">
        <f t="shared" si="3"/>
        <v>0</v>
      </c>
      <c r="T46">
        <f t="shared" si="1"/>
        <v>0</v>
      </c>
      <c r="U46" s="8">
        <f t="shared" si="2"/>
        <v>0</v>
      </c>
    </row>
    <row r="47" spans="1:21">
      <c r="A47" s="11" t="s">
        <v>89</v>
      </c>
      <c r="B47" s="4" t="s">
        <v>86</v>
      </c>
      <c r="C47" s="11" t="s">
        <v>87</v>
      </c>
      <c r="D47" s="5"/>
      <c r="E47" s="5"/>
      <c r="F47" s="5"/>
      <c r="G47" s="5"/>
      <c r="H47" s="5"/>
      <c r="I47" s="5"/>
      <c r="J47" s="5"/>
      <c r="K47" s="5"/>
      <c r="M47" s="5" t="s">
        <v>56</v>
      </c>
      <c r="N47" s="5" t="s">
        <v>87</v>
      </c>
      <c r="O47" s="5" t="s">
        <v>87</v>
      </c>
      <c r="P47" s="5" cm="1">
        <f t="array" ref="P47">SUM(COUNTIF(D47:O47, {"◯","●","◯●"}))</f>
        <v>0</v>
      </c>
      <c r="Q47" s="6">
        <f t="shared" ca="1" si="6"/>
        <v>0</v>
      </c>
      <c r="R47" s="7" cm="1">
        <f t="array" ref="R47">SUM(COUNTIF(J47:L47, {"*◯*","*●*"})) - COUNTIF(J47:L47, "*◯●*")</f>
        <v>0</v>
      </c>
      <c r="S47" s="6">
        <f t="shared" si="3"/>
        <v>0</v>
      </c>
      <c r="T47">
        <f t="shared" si="1"/>
        <v>0</v>
      </c>
      <c r="U47" s="8">
        <f t="shared" si="2"/>
        <v>0</v>
      </c>
    </row>
  </sheetData>
  <autoFilter ref="A1:S47" xr:uid="{78FBDAF5-C70E-45A0-A641-F953FAC76D04}"/>
  <phoneticPr fontId="3"/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FY25 1on1管理表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幸地 司</dc:creator>
  <cp:lastModifiedBy>幸地 司</cp:lastModifiedBy>
  <dcterms:created xsi:type="dcterms:W3CDTF">2026-04-15T05:32:27Z</dcterms:created>
  <dcterms:modified xsi:type="dcterms:W3CDTF">2026-04-15T05:33:10Z</dcterms:modified>
</cp:coreProperties>
</file>